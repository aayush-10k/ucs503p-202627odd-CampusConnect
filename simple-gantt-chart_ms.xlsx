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jectSchedule" sheetId="1" state="visible" r:id="rId1"/>
  </sheets>
  <definedNames>
    <definedName name="valuevx">42.314159</definedName>
    <definedName name="task_end" localSheetId="0">ProjectSchedule!$F1</definedName>
    <definedName name="task_progress" localSheetId="0">ProjectSchedule!$D1</definedName>
    <definedName name="task_start" localSheetId="0">ProjectSchedule!$E1</definedName>
    <definedName name="today" localSheetId="0">ProjectSchedule!$E$3</definedName>
    <definedName name="_xlnm.Print_Titles" localSheetId="0">'ProjectSchedule'!$4:$6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"/>
    <numFmt numFmtId="165" formatCode="m/d/yy;@"/>
    <numFmt numFmtId="166" formatCode="yyyy\-mm\-dd"/>
    <numFmt numFmtId="167" formatCode="mmm\ d\,\ yyyy"/>
  </numFmts>
  <fonts count="23">
    <font>
      <name val="Calibri"/>
      <family val="2"/>
      <color theme="1"/>
      <sz val="11"/>
      <scheme val="minor"/>
    </font>
    <font>
      <name val="Calibri"/>
      <family val="2"/>
      <b val="1"/>
      <color theme="4" tint="-0.249977111117893"/>
      <sz val="20"/>
      <scheme val="major"/>
    </font>
    <font>
      <name val="Calibri"/>
      <family val="2"/>
      <sz val="10"/>
      <scheme val="minor"/>
    </font>
    <font>
      <name val="Arial"/>
      <family val="2"/>
      <color indexed="12"/>
      <sz val="11"/>
      <u val="single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color theme="0" tint="-0.499984740745262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sz val="9"/>
      <scheme val="minor"/>
    </font>
    <font>
      <name val="Calibri"/>
      <family val="2"/>
      <color theme="0"/>
      <sz val="8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 tint="0.3499862666707358"/>
      <sz val="12"/>
      <scheme val="minor"/>
    </font>
    <font>
      <name val="Calibri"/>
      <family val="2"/>
      <b val="1"/>
      <sz val="10"/>
      <scheme val="minor"/>
    </font>
    <font>
      <name val="Calibri"/>
      <family val="2"/>
      <color theme="1" tint="0.499984740745262"/>
      <sz val="11"/>
      <scheme val="minor"/>
    </font>
    <font>
      <name val="Calibri"/>
      <family val="2"/>
      <sz val="20"/>
      <scheme val="major"/>
    </font>
    <font>
      <name val="Calibri"/>
      <family val="2"/>
      <color rgb="FF1D2129"/>
      <sz val="11"/>
      <scheme val="minor"/>
    </font>
    <font>
      <name val="Calibri"/>
      <family val="2"/>
      <b val="1"/>
      <color theme="4" tint="-0.249977111117893"/>
      <sz val="16"/>
      <scheme val="major"/>
    </font>
    <font>
      <name val="Calibri"/>
      <family val="2"/>
      <color theme="1" tint="0.3499862666707358"/>
      <sz val="10"/>
      <scheme val="minor"/>
    </font>
    <font>
      <name val="Arial"/>
      <family val="2"/>
      <color theme="4" tint="-0.249977111117893"/>
      <sz val="9"/>
      <u val="single"/>
    </font>
    <font>
      <name val="Calibri"/>
      <b val="1"/>
      <color rgb="FF1F4E79"/>
      <sz val="18"/>
    </font>
    <font>
      <name val="Calibri"/>
      <b val="1"/>
      <color rgb="FF1F4E79"/>
      <sz val="11"/>
    </font>
    <font>
      <name val="Calibri"/>
      <color rgb="FF000000"/>
      <sz val="10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1" tint="0.3499862666707358"/>
        <bgColor theme="4"/>
      </patternFill>
    </fill>
  </fills>
  <borders count="12">
    <border>
      <left/>
      <right/>
      <top/>
      <bottom/>
      <diagonal/>
    </border>
    <border>
      <left/>
      <right/>
      <top style="thin">
        <color theme="0" tint="-0.3499862666707358"/>
      </top>
      <bottom/>
      <diagonal/>
    </border>
    <border>
      <left/>
      <right/>
      <top style="medium">
        <color theme="0" tint="-0.1499374370555742"/>
      </top>
      <bottom style="medium">
        <color theme="0" tint="-0.149937437055574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medium">
        <color theme="0" tint="-0.1499374370555742"/>
      </bottom>
      <diagonal/>
    </border>
    <border>
      <left style="thin">
        <color theme="0" tint="-0.1499069185460982"/>
      </left>
      <right style="thin">
        <color theme="0" tint="-0.1499069185460982"/>
      </right>
      <top style="medium">
        <color theme="0" tint="-0.1499374370555742"/>
      </top>
      <bottom style="medium">
        <color theme="0" tint="-0.149937437055574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/>
      <right/>
      <top/>
      <bottom/>
      <diagonal/>
    </border>
  </borders>
  <cellStyleXfs count="3">
    <xf numFmtId="0" fontId="8" fillId="0" borderId="11"/>
    <xf numFmtId="0" fontId="3" fillId="0" borderId="11" applyAlignment="1" applyProtection="1">
      <alignment vertical="top"/>
      <protection locked="0" hidden="0"/>
    </xf>
    <xf numFmtId="9" fontId="8" fillId="0" borderId="11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 wrapText="1"/>
    </xf>
    <xf numFmtId="164" fontId="9" fillId="3" borderId="0" applyAlignment="1" pivotButton="0" quotePrefix="0" xfId="0">
      <alignment horizontal="center" vertical="center"/>
    </xf>
    <xf numFmtId="164" fontId="9" fillId="3" borderId="6" applyAlignment="1" pivotButton="0" quotePrefix="0" xfId="0">
      <alignment horizontal="center" vertical="center"/>
    </xf>
    <xf numFmtId="164" fontId="9" fillId="3" borderId="7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9" fontId="4" fillId="4" borderId="2" applyAlignment="1" pivotButton="0" quotePrefix="0" xfId="2">
      <alignment horizontal="center" vertical="center"/>
    </xf>
    <xf numFmtId="165" fontId="4" fillId="4" borderId="2" applyAlignment="1" pivotButton="0" quotePrefix="0" xfId="0">
      <alignment horizontal="center" vertical="center"/>
    </xf>
    <xf numFmtId="9" fontId="4" fillId="2" borderId="2" applyAlignment="1" pivotButton="0" quotePrefix="0" xfId="2">
      <alignment horizontal="center" vertical="center"/>
    </xf>
    <xf numFmtId="0" fontId="2" fillId="0" borderId="0" applyAlignment="1" pivotButton="0" quotePrefix="0" xfId="0">
      <alignment vertical="top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top" wrapText="1" indent="1"/>
    </xf>
    <xf numFmtId="0" fontId="3" fillId="0" borderId="0" applyAlignment="1" pivotButton="0" quotePrefix="0" xfId="1">
      <alignment horizontal="left" indent="1"/>
    </xf>
    <xf numFmtId="0" fontId="2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vertical="top"/>
    </xf>
    <xf numFmtId="0" fontId="19" fillId="0" borderId="0" applyAlignment="1" pivotButton="0" quotePrefix="0" xfId="1">
      <alignment horizontal="left" vertical="center"/>
    </xf>
    <xf numFmtId="0" fontId="20" fillId="0" borderId="0" applyAlignment="1" pivotButton="0" quotePrefix="0" xfId="0">
      <alignment horizontal="left"/>
    </xf>
    <xf numFmtId="0" fontId="21" fillId="4" borderId="2" applyAlignment="1" pivotButton="0" quotePrefix="0" xfId="0">
      <alignment horizontal="left" vertical="center"/>
    </xf>
    <xf numFmtId="165" fontId="8" fillId="4" borderId="2" applyAlignment="1" pivotButton="0" quotePrefix="0" xfId="0">
      <alignment horizontal="center" vertical="center"/>
    </xf>
    <xf numFmtId="0" fontId="8" fillId="0" borderId="9" applyAlignment="1" pivotButton="0" quotePrefix="0" xfId="0">
      <alignment vertical="center"/>
    </xf>
    <xf numFmtId="0" fontId="22" fillId="2" borderId="2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left" vertical="center"/>
    </xf>
    <xf numFmtId="166" fontId="8" fillId="2" borderId="2" applyAlignment="1" pivotButton="0" quotePrefix="0" xfId="0">
      <alignment horizontal="center" vertical="center"/>
    </xf>
    <xf numFmtId="166" fontId="4" fillId="2" borderId="2" applyAlignment="1" pivotButton="0" quotePrefix="0" xfId="0">
      <alignment horizontal="center" vertical="center"/>
    </xf>
    <xf numFmtId="9" fontId="4" fillId="2" borderId="2" applyAlignment="1" pivotButton="0" quotePrefix="0" xfId="0">
      <alignment horizontal="center" vertical="center"/>
    </xf>
    <xf numFmtId="0" fontId="21" fillId="4" borderId="2" applyAlignment="1" pivotButton="0" quotePrefix="0" xfId="1">
      <alignment horizontal="left" vertical="center"/>
    </xf>
    <xf numFmtId="0" fontId="5" fillId="4" borderId="2" applyAlignment="1" pivotButton="0" quotePrefix="0" xfId="1">
      <alignment horizontal="center" vertical="center"/>
    </xf>
    <xf numFmtId="9" fontId="4" fillId="4" borderId="2" applyAlignment="1" pivotButton="0" quotePrefix="0" xfId="0">
      <alignment horizontal="center" vertical="center"/>
    </xf>
    <xf numFmtId="0" fontId="0" fillId="0" borderId="11" pivotButton="0" quotePrefix="0" xfId="0"/>
    <xf numFmtId="0" fontId="21" fillId="0" borderId="0" applyAlignment="1" pivotButton="0" quotePrefix="0" xfId="0">
      <alignment horizontal="left" vertical="center"/>
    </xf>
    <xf numFmtId="0" fontId="0" fillId="0" borderId="0" pivotButton="0" quotePrefix="0" xfId="0"/>
    <xf numFmtId="167" fontId="0" fillId="3" borderId="10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0" fillId="0" borderId="5" pivotButton="0" quotePrefix="0" xfId="0"/>
    <xf numFmtId="166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21" fillId="0" borderId="11" applyAlignment="1" pivotButton="0" quotePrefix="0" xfId="0">
      <alignment horizontal="left" vertical="center"/>
    </xf>
    <xf numFmtId="166" fontId="0" fillId="0" borderId="3" applyAlignment="1" pivotButton="0" quotePrefix="0" xfId="0">
      <alignment horizontal="center" vertical="center"/>
    </xf>
    <xf numFmtId="167" fontId="0" fillId="3" borderId="10" applyAlignment="1" pivotButton="0" quotePrefix="0" xfId="0">
      <alignment horizontal="left" vertical="center" wrapText="1" indent="1"/>
    </xf>
    <xf numFmtId="166" fontId="8" fillId="2" borderId="2" applyAlignment="1" pivotButton="0" quotePrefix="0" xfId="0">
      <alignment horizontal="center" vertical="center"/>
    </xf>
    <xf numFmtId="166" fontId="4" fillId="2" borderId="2" applyAlignment="1" pivotButton="0" quotePrefix="0" xfId="0">
      <alignment horizontal="center" vertical="center"/>
    </xf>
  </cellXfs>
  <cellStyles count="3">
    <cellStyle name="Normal" xfId="0" builtinId="0"/>
    <cellStyle name="Hyperlink" xfId="1" builtinId="8"/>
    <cellStyle name="Per cent" xfId="2" builtinId="5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8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top style="thin">
          <color theme="4" tint="0.3999450666829432"/>
        </top>
      </border>
    </dxf>
    <dxf>
      <fill>
        <patternFill>
          <bgColor theme="0" tint="-0.0499893185216834"/>
        </patternFill>
      </fill>
      <border>
        <top style="thin">
          <color theme="4" tint="0.3999450666829432"/>
        </top>
      </border>
    </dxf>
    <dxf>
      <font>
        <b val="1"/>
        <color theme="1"/>
      </font>
    </dxf>
    <dxf>
      <font>
        <color theme="1"/>
      </font>
      <border>
        <left style="thin">
          <color theme="4"/>
        </left>
      </border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Vertex42.com Templates</author>
  </authors>
  <commentList>
    <comment ref="H6" authorId="0" shapeId="0">
      <text>
        <t>DAYS:
This column calculates the duration of the task in calendar days. The duration includes both the Start and End dates.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vertex42.com/ExcelTemplates/simple-gantt-chart.html?utm_source=v42&amp;utm_medium=file&amp;utm_campaign=templates&amp;utm_term=simple-gantt-chart_ms&amp;utm_content=title" TargetMode="External" Id="rId1"/><Relationship Type="http://schemas.openxmlformats.org/officeDocument/2006/relationships/hyperlink" Target="https://www.vertex42.com/ExcelTemplates/simple-gantt-chart.html?utm_source=v42&amp;utm_medium=file&amp;utm_campaign=templates&amp;utm_term=simple-gantt-chart_ms&amp;utm_content=url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BL72"/>
  <sheetViews>
    <sheetView showGridLines="0" tabSelected="1" showRuler="0" zoomScaleNormal="100" zoomScalePageLayoutView="70" workbookViewId="0">
      <pane ySplit="6" topLeftCell="A7" activePane="bottomLeft" state="frozen"/>
      <selection pane="bottomLeft" activeCell="F25" sqref="F25"/>
    </sheetView>
  </sheetViews>
  <sheetFormatPr baseColWidth="8" defaultRowHeight="14.4"/>
  <cols>
    <col width="2.6640625" customWidth="1" style="48" min="1" max="1"/>
    <col width="54" customWidth="1" style="48" min="2" max="2"/>
    <col width="24" customWidth="1" style="48" min="3" max="3"/>
    <col width="11" customWidth="1" style="48" min="4" max="4"/>
    <col width="12" customWidth="1" style="5" min="5" max="5"/>
    <col width="12" customWidth="1" style="48" min="6" max="6"/>
    <col width="2.6640625" customWidth="1" style="48" min="7" max="7"/>
    <col hidden="1" width="7" customWidth="1" style="48" min="8" max="8"/>
    <col width="2.5546875" customWidth="1" style="48" min="9" max="64"/>
    <col width="10.33203125" customWidth="1" style="48" min="69" max="70"/>
  </cols>
  <sheetData>
    <row r="1" ht="28.5" customHeight="1" s="48">
      <c r="B1" s="34" t="inlineStr">
        <is>
          <t>CampusConnect — Closed-Community Academic &amp; Social Platform</t>
        </is>
      </c>
      <c r="C1" s="1" t="n"/>
      <c r="D1" s="2" t="n"/>
      <c r="E1" s="4" t="n"/>
      <c r="F1" s="31" t="n"/>
      <c r="H1" s="2" t="n"/>
      <c r="I1" s="8" t="n"/>
      <c r="J1" s="33" t="n"/>
    </row>
    <row r="2" ht="19.95" customHeight="1" s="48">
      <c r="B2" s="54" t="inlineStr">
        <is>
          <t>Aayushmaan Singh Meyan (1024240142)</t>
        </is>
      </c>
      <c r="D2" s="6" t="inlineStr">
        <is>
          <t>Project Start:</t>
        </is>
      </c>
      <c r="E2" s="55" t="n">
        <v>46251</v>
      </c>
      <c r="F2" s="53" t="n"/>
    </row>
    <row r="3" ht="19.95" customHeight="1" s="48">
      <c r="B3" s="54" t="inlineStr">
        <is>
          <t>Divyansh Jasrotia (1024240008)</t>
        </is>
      </c>
      <c r="D3" s="6" t="inlineStr">
        <is>
          <t>Today:</t>
        </is>
      </c>
      <c r="E3" s="55" t="n">
        <v>46271</v>
      </c>
      <c r="F3" s="53" t="n"/>
    </row>
    <row r="4" ht="19.95" customHeight="1" s="48">
      <c r="B4" s="54" t="inlineStr">
        <is>
          <t>Prakhar Saxena (1024240019)</t>
        </is>
      </c>
      <c r="D4" s="6" t="inlineStr">
        <is>
          <t>Display Week:</t>
        </is>
      </c>
      <c r="E4" s="7" t="n">
        <v>1</v>
      </c>
      <c r="I4" s="56">
        <f>I5</f>
        <v/>
      </c>
      <c r="J4" s="50" t="n"/>
      <c r="K4" s="50" t="n"/>
      <c r="L4" s="50" t="n"/>
      <c r="M4" s="50" t="n"/>
      <c r="N4" s="50" t="n"/>
      <c r="O4" s="51" t="n"/>
      <c r="P4" s="56">
        <f>P5</f>
        <v/>
      </c>
      <c r="Q4" s="50" t="n"/>
      <c r="R4" s="50" t="n"/>
      <c r="S4" s="50" t="n"/>
      <c r="T4" s="50" t="n"/>
      <c r="U4" s="50" t="n"/>
      <c r="V4" s="51" t="n"/>
      <c r="W4" s="56">
        <f>W5</f>
        <v/>
      </c>
      <c r="X4" s="50" t="n"/>
      <c r="Y4" s="50" t="n"/>
      <c r="Z4" s="50" t="n"/>
      <c r="AA4" s="50" t="n"/>
      <c r="AB4" s="50" t="n"/>
      <c r="AC4" s="51" t="n"/>
      <c r="AD4" s="56">
        <f>AD5</f>
        <v/>
      </c>
      <c r="AE4" s="50" t="n"/>
      <c r="AF4" s="50" t="n"/>
      <c r="AG4" s="50" t="n"/>
      <c r="AH4" s="50" t="n"/>
      <c r="AI4" s="50" t="n"/>
      <c r="AJ4" s="51" t="n"/>
      <c r="AK4" s="56">
        <f>AK5</f>
        <v/>
      </c>
      <c r="AL4" s="50" t="n"/>
      <c r="AM4" s="50" t="n"/>
      <c r="AN4" s="50" t="n"/>
      <c r="AO4" s="50" t="n"/>
      <c r="AP4" s="50" t="n"/>
      <c r="AQ4" s="51" t="n"/>
      <c r="AR4" s="56">
        <f>AR5</f>
        <v/>
      </c>
      <c r="AS4" s="50" t="n"/>
      <c r="AT4" s="50" t="n"/>
      <c r="AU4" s="50" t="n"/>
      <c r="AV4" s="50" t="n"/>
      <c r="AW4" s="50" t="n"/>
      <c r="AX4" s="51" t="n"/>
      <c r="AY4" s="56">
        <f>AY5</f>
        <v/>
      </c>
      <c r="AZ4" s="50" t="n"/>
      <c r="BA4" s="50" t="n"/>
      <c r="BB4" s="50" t="n"/>
      <c r="BC4" s="50" t="n"/>
      <c r="BD4" s="50" t="n"/>
      <c r="BE4" s="51" t="n"/>
      <c r="BF4" s="56">
        <f>BF5</f>
        <v/>
      </c>
      <c r="BG4" s="50" t="n"/>
      <c r="BH4" s="50" t="n"/>
      <c r="BI4" s="50" t="n"/>
      <c r="BJ4" s="50" t="n"/>
      <c r="BK4" s="50" t="n"/>
      <c r="BL4" s="51" t="n"/>
    </row>
    <row r="5">
      <c r="A5" s="6" t="n"/>
      <c r="G5" s="6" t="n"/>
      <c r="I5" s="12">
        <f>E2-WEEKDAY(E2,1)+2+7*(E4-1)</f>
        <v/>
      </c>
      <c r="J5" s="11">
        <f>I5+1</f>
        <v/>
      </c>
      <c r="K5" s="11">
        <f>J5+1</f>
        <v/>
      </c>
      <c r="L5" s="11">
        <f>K5+1</f>
        <v/>
      </c>
      <c r="M5" s="11">
        <f>L5+1</f>
        <v/>
      </c>
      <c r="N5" s="11">
        <f>M5+1</f>
        <v/>
      </c>
      <c r="O5" s="13">
        <f>N5+1</f>
        <v/>
      </c>
      <c r="P5" s="12">
        <f>O5+1</f>
        <v/>
      </c>
      <c r="Q5" s="11">
        <f>P5+1</f>
        <v/>
      </c>
      <c r="R5" s="11">
        <f>Q5+1</f>
        <v/>
      </c>
      <c r="S5" s="11">
        <f>R5+1</f>
        <v/>
      </c>
      <c r="T5" s="11">
        <f>S5+1</f>
        <v/>
      </c>
      <c r="U5" s="11">
        <f>T5+1</f>
        <v/>
      </c>
      <c r="V5" s="13">
        <f>U5+1</f>
        <v/>
      </c>
      <c r="W5" s="12">
        <f>V5+1</f>
        <v/>
      </c>
      <c r="X5" s="11">
        <f>W5+1</f>
        <v/>
      </c>
      <c r="Y5" s="11">
        <f>X5+1</f>
        <v/>
      </c>
      <c r="Z5" s="11">
        <f>Y5+1</f>
        <v/>
      </c>
      <c r="AA5" s="11">
        <f>Z5+1</f>
        <v/>
      </c>
      <c r="AB5" s="11">
        <f>AA5+1</f>
        <v/>
      </c>
      <c r="AC5" s="13">
        <f>AB5+1</f>
        <v/>
      </c>
      <c r="AD5" s="12">
        <f>AC5+1</f>
        <v/>
      </c>
      <c r="AE5" s="11">
        <f>AD5+1</f>
        <v/>
      </c>
      <c r="AF5" s="11">
        <f>AE5+1</f>
        <v/>
      </c>
      <c r="AG5" s="11">
        <f>AF5+1</f>
        <v/>
      </c>
      <c r="AH5" s="11">
        <f>AG5+1</f>
        <v/>
      </c>
      <c r="AI5" s="11">
        <f>AH5+1</f>
        <v/>
      </c>
      <c r="AJ5" s="13">
        <f>AI5+1</f>
        <v/>
      </c>
      <c r="AK5" s="12">
        <f>AJ5+1</f>
        <v/>
      </c>
      <c r="AL5" s="11">
        <f>AK5+1</f>
        <v/>
      </c>
      <c r="AM5" s="11">
        <f>AL5+1</f>
        <v/>
      </c>
      <c r="AN5" s="11">
        <f>AM5+1</f>
        <v/>
      </c>
      <c r="AO5" s="11">
        <f>AN5+1</f>
        <v/>
      </c>
      <c r="AP5" s="11">
        <f>AO5+1</f>
        <v/>
      </c>
      <c r="AQ5" s="13">
        <f>AP5+1</f>
        <v/>
      </c>
      <c r="AR5" s="12">
        <f>AQ5+1</f>
        <v/>
      </c>
      <c r="AS5" s="11">
        <f>AR5+1</f>
        <v/>
      </c>
      <c r="AT5" s="11">
        <f>AS5+1</f>
        <v/>
      </c>
      <c r="AU5" s="11">
        <f>AT5+1</f>
        <v/>
      </c>
      <c r="AV5" s="11">
        <f>AU5+1</f>
        <v/>
      </c>
      <c r="AW5" s="11">
        <f>AV5+1</f>
        <v/>
      </c>
      <c r="AX5" s="13">
        <f>AW5+1</f>
        <v/>
      </c>
      <c r="AY5" s="12">
        <f>AX5+1</f>
        <v/>
      </c>
      <c r="AZ5" s="11">
        <f>AY5+1</f>
        <v/>
      </c>
      <c r="BA5" s="11">
        <f>AZ5+1</f>
        <v/>
      </c>
      <c r="BB5" s="11">
        <f>BA5+1</f>
        <v/>
      </c>
      <c r="BC5" s="11">
        <f>BB5+1</f>
        <v/>
      </c>
      <c r="BD5" s="11">
        <f>BC5+1</f>
        <v/>
      </c>
      <c r="BE5" s="13">
        <f>BD5+1</f>
        <v/>
      </c>
      <c r="BF5" s="12">
        <f>BE5+1</f>
        <v/>
      </c>
      <c r="BG5" s="11">
        <f>BF5+1</f>
        <v/>
      </c>
      <c r="BH5" s="11">
        <f>BG5+1</f>
        <v/>
      </c>
      <c r="BI5" s="11">
        <f>BH5+1</f>
        <v/>
      </c>
      <c r="BJ5" s="11">
        <f>BI5+1</f>
        <v/>
      </c>
      <c r="BK5" s="11">
        <f>BJ5+1</f>
        <v/>
      </c>
      <c r="BL5" s="13">
        <f>BK5+1</f>
        <v/>
      </c>
    </row>
    <row r="6" ht="29.25" customHeight="1" s="48" thickBot="1">
      <c r="A6" s="15" t="n"/>
      <c r="B6" s="9" t="inlineStr">
        <is>
          <t>TASK</t>
        </is>
      </c>
      <c r="C6" s="10" t="inlineStr">
        <is>
          <t>ASSIGNED
TO</t>
        </is>
      </c>
      <c r="D6" s="10" t="inlineStr">
        <is>
          <t>PROGRESS</t>
        </is>
      </c>
      <c r="E6" s="10" t="inlineStr">
        <is>
          <t>START</t>
        </is>
      </c>
      <c r="F6" s="10" t="inlineStr">
        <is>
          <t>END</t>
        </is>
      </c>
      <c r="G6" s="10" t="n"/>
      <c r="H6" s="10" t="inlineStr">
        <is>
          <t>DAYS</t>
        </is>
      </c>
      <c r="I6" s="14">
        <f>LEFT(TEXT(I5,"ddd"),1)</f>
        <v/>
      </c>
      <c r="J6" s="14">
        <f>LEFT(TEXT(J5,"ddd"),1)</f>
        <v/>
      </c>
      <c r="K6" s="14">
        <f>LEFT(TEXT(K5,"ddd"),1)</f>
        <v/>
      </c>
      <c r="L6" s="14">
        <f>LEFT(TEXT(L5,"ddd"),1)</f>
        <v/>
      </c>
      <c r="M6" s="14">
        <f>LEFT(TEXT(M5,"ddd"),1)</f>
        <v/>
      </c>
      <c r="N6" s="14">
        <f>LEFT(TEXT(N5,"ddd"),1)</f>
        <v/>
      </c>
      <c r="O6" s="14">
        <f>LEFT(TEXT(O5,"ddd"),1)</f>
        <v/>
      </c>
      <c r="P6" s="14">
        <f>LEFT(TEXT(P5,"ddd"),1)</f>
        <v/>
      </c>
      <c r="Q6" s="14">
        <f>LEFT(TEXT(Q5,"ddd"),1)</f>
        <v/>
      </c>
      <c r="R6" s="14">
        <f>LEFT(TEXT(R5,"ddd"),1)</f>
        <v/>
      </c>
      <c r="S6" s="14">
        <f>LEFT(TEXT(S5,"ddd"),1)</f>
        <v/>
      </c>
      <c r="T6" s="14">
        <f>LEFT(TEXT(T5,"ddd"),1)</f>
        <v/>
      </c>
      <c r="U6" s="14">
        <f>LEFT(TEXT(U5,"ddd"),1)</f>
        <v/>
      </c>
      <c r="V6" s="14">
        <f>LEFT(TEXT(V5,"ddd"),1)</f>
        <v/>
      </c>
      <c r="W6" s="14">
        <f>LEFT(TEXT(W5,"ddd"),1)</f>
        <v/>
      </c>
      <c r="X6" s="14">
        <f>LEFT(TEXT(X5,"ddd"),1)</f>
        <v/>
      </c>
      <c r="Y6" s="14">
        <f>LEFT(TEXT(Y5,"ddd"),1)</f>
        <v/>
      </c>
      <c r="Z6" s="14">
        <f>LEFT(TEXT(Z5,"ddd"),1)</f>
        <v/>
      </c>
      <c r="AA6" s="14">
        <f>LEFT(TEXT(AA5,"ddd"),1)</f>
        <v/>
      </c>
      <c r="AB6" s="14">
        <f>LEFT(TEXT(AB5,"ddd"),1)</f>
        <v/>
      </c>
      <c r="AC6" s="14">
        <f>LEFT(TEXT(AC5,"ddd"),1)</f>
        <v/>
      </c>
      <c r="AD6" s="14">
        <f>LEFT(TEXT(AD5,"ddd"),1)</f>
        <v/>
      </c>
      <c r="AE6" s="14">
        <f>LEFT(TEXT(AE5,"ddd"),1)</f>
        <v/>
      </c>
      <c r="AF6" s="14">
        <f>LEFT(TEXT(AF5,"ddd"),1)</f>
        <v/>
      </c>
      <c r="AG6" s="14">
        <f>LEFT(TEXT(AG5,"ddd"),1)</f>
        <v/>
      </c>
      <c r="AH6" s="14">
        <f>LEFT(TEXT(AH5,"ddd"),1)</f>
        <v/>
      </c>
      <c r="AI6" s="14">
        <f>LEFT(TEXT(AI5,"ddd"),1)</f>
        <v/>
      </c>
      <c r="AJ6" s="14">
        <f>LEFT(TEXT(AJ5,"ddd"),1)</f>
        <v/>
      </c>
      <c r="AK6" s="14">
        <f>LEFT(TEXT(AK5,"ddd"),1)</f>
        <v/>
      </c>
      <c r="AL6" s="14">
        <f>LEFT(TEXT(AL5,"ddd"),1)</f>
        <v/>
      </c>
      <c r="AM6" s="14">
        <f>LEFT(TEXT(AM5,"ddd"),1)</f>
        <v/>
      </c>
      <c r="AN6" s="14">
        <f>LEFT(TEXT(AN5,"ddd"),1)</f>
        <v/>
      </c>
      <c r="AO6" s="14">
        <f>LEFT(TEXT(AO5,"ddd"),1)</f>
        <v/>
      </c>
      <c r="AP6" s="14">
        <f>LEFT(TEXT(AP5,"ddd"),1)</f>
        <v/>
      </c>
      <c r="AQ6" s="14">
        <f>LEFT(TEXT(AQ5,"ddd"),1)</f>
        <v/>
      </c>
      <c r="AR6" s="14">
        <f>LEFT(TEXT(AR5,"ddd"),1)</f>
        <v/>
      </c>
      <c r="AS6" s="14">
        <f>LEFT(TEXT(AS5,"ddd"),1)</f>
        <v/>
      </c>
      <c r="AT6" s="14">
        <f>LEFT(TEXT(AT5,"ddd"),1)</f>
        <v/>
      </c>
      <c r="AU6" s="14">
        <f>LEFT(TEXT(AU5,"ddd"),1)</f>
        <v/>
      </c>
      <c r="AV6" s="14">
        <f>LEFT(TEXT(AV5,"ddd"),1)</f>
        <v/>
      </c>
      <c r="AW6" s="14">
        <f>LEFT(TEXT(AW5,"ddd"),1)</f>
        <v/>
      </c>
      <c r="AX6" s="14">
        <f>LEFT(TEXT(AX5,"ddd"),1)</f>
        <v/>
      </c>
      <c r="AY6" s="14">
        <f>LEFT(TEXT(AY5,"ddd"),1)</f>
        <v/>
      </c>
      <c r="AZ6" s="14">
        <f>LEFT(TEXT(AZ5,"ddd"),1)</f>
        <v/>
      </c>
      <c r="BA6" s="14">
        <f>LEFT(TEXT(BA5,"ddd"),1)</f>
        <v/>
      </c>
      <c r="BB6" s="14">
        <f>LEFT(TEXT(BB5,"ddd"),1)</f>
        <v/>
      </c>
      <c r="BC6" s="14">
        <f>LEFT(TEXT(BC5,"ddd"),1)</f>
        <v/>
      </c>
      <c r="BD6" s="14">
        <f>LEFT(TEXT(BD5,"ddd"),1)</f>
        <v/>
      </c>
      <c r="BE6" s="14">
        <f>LEFT(TEXT(BE5,"ddd"),1)</f>
        <v/>
      </c>
      <c r="BF6" s="14">
        <f>LEFT(TEXT(BF5,"ddd"),1)</f>
        <v/>
      </c>
      <c r="BG6" s="14">
        <f>LEFT(TEXT(BG5,"ddd"),1)</f>
        <v/>
      </c>
      <c r="BH6" s="14">
        <f>LEFT(TEXT(BH5,"ddd"),1)</f>
        <v/>
      </c>
      <c r="BI6" s="14">
        <f>LEFT(TEXT(BI5,"ddd"),1)</f>
        <v/>
      </c>
      <c r="BJ6" s="14">
        <f>LEFT(TEXT(BJ5,"ddd"),1)</f>
        <v/>
      </c>
      <c r="BK6" s="14">
        <f>LEFT(TEXT(BK5,"ddd"),1)</f>
        <v/>
      </c>
      <c r="BL6" s="14">
        <f>LEFT(TEXT(BL5,"ddd"),1)</f>
        <v/>
      </c>
    </row>
    <row r="7" ht="21.75" customFormat="1" customHeight="1" s="3" thickBot="1">
      <c r="A7" s="15" t="n"/>
      <c r="B7" s="35" t="inlineStr">
        <is>
          <t>Phase 0 — Project Scaffold</t>
        </is>
      </c>
      <c r="C7" s="17" t="n"/>
      <c r="D7" s="18" t="n"/>
      <c r="E7" s="36" t="n"/>
      <c r="F7" s="19" t="n"/>
      <c r="G7" s="16" t="n"/>
      <c r="H7" s="16">
        <f>IF(OR(ISBLANK(task_start),ISBLANK(task_end)),"",task_end-task_start+1)</f>
        <v/>
      </c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  <c r="BA7" s="37" t="n"/>
      <c r="BB7" s="37" t="n"/>
      <c r="BC7" s="37" t="n"/>
      <c r="BD7" s="37" t="n"/>
      <c r="BE7" s="37" t="n"/>
      <c r="BF7" s="37" t="n"/>
      <c r="BG7" s="37" t="n"/>
      <c r="BH7" s="37" t="n"/>
      <c r="BI7" s="37" t="n"/>
      <c r="BJ7" s="37" t="n"/>
      <c r="BK7" s="37" t="n"/>
      <c r="BL7" s="37" t="n"/>
    </row>
    <row r="8" ht="21.75" customFormat="1" customHeight="1" s="3" thickBot="1">
      <c r="A8" s="15" t="n"/>
      <c r="B8" s="38" t="inlineStr">
        <is>
          <t>Task 0.1 — Initialize Next.js Project</t>
        </is>
      </c>
      <c r="C8" s="39" t="inlineStr">
        <is>
          <t>Aayushmaan Singh Meyan</t>
        </is>
      </c>
      <c r="D8" s="20" t="n">
        <v>1</v>
      </c>
      <c r="E8" s="57" t="n">
        <v>46251</v>
      </c>
      <c r="F8" s="58" t="n">
        <v>46252</v>
      </c>
      <c r="G8" s="16" t="n"/>
      <c r="H8" s="16">
        <f>IF(OR(ISBLANK(task_start),ISBLANK(task_end)),"",task_end-task_start+1)</f>
        <v/>
      </c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  <c r="BA8" s="37" t="n"/>
      <c r="BB8" s="37" t="n"/>
      <c r="BC8" s="37" t="n"/>
      <c r="BD8" s="37" t="n"/>
      <c r="BE8" s="37" t="n"/>
      <c r="BF8" s="37" t="n"/>
      <c r="BG8" s="37" t="n"/>
      <c r="BH8" s="37" t="n"/>
      <c r="BI8" s="37" t="n"/>
      <c r="BJ8" s="37" t="n"/>
      <c r="BK8" s="37" t="n"/>
      <c r="BL8" s="37" t="n"/>
    </row>
    <row r="9" ht="21.75" customFormat="1" customHeight="1" s="3" thickBot="1">
      <c r="A9" s="15" t="n"/>
      <c r="B9" s="38" t="inlineStr">
        <is>
          <t>Task 0.2 — Install Core Dependencies</t>
        </is>
      </c>
      <c r="C9" s="39" t="inlineStr">
        <is>
          <t>Aayushmaan Singh Meyan</t>
        </is>
      </c>
      <c r="D9" s="20" t="n">
        <v>1</v>
      </c>
      <c r="E9" s="57" t="n">
        <v>46252</v>
      </c>
      <c r="F9" s="58" t="n">
        <v>46254</v>
      </c>
      <c r="G9" s="16" t="n"/>
      <c r="H9" s="16">
        <f>IF(OR(ISBLANK(task_start),ISBLANK(task_end)),"",task_end-task_start+1)</f>
        <v/>
      </c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  <c r="BA9" s="37" t="n"/>
      <c r="BB9" s="37" t="n"/>
      <c r="BC9" s="37" t="n"/>
      <c r="BD9" s="37" t="n"/>
      <c r="BE9" s="37" t="n"/>
      <c r="BF9" s="37" t="n"/>
      <c r="BG9" s="37" t="n"/>
      <c r="BH9" s="37" t="n"/>
      <c r="BI9" s="37" t="n"/>
      <c r="BJ9" s="37" t="n"/>
      <c r="BK9" s="37" t="n"/>
      <c r="BL9" s="37" t="n"/>
    </row>
    <row r="10" ht="21.75" customFormat="1" customHeight="1" s="3" thickBot="1">
      <c r="A10" s="15" t="n"/>
      <c r="B10" s="38" t="inlineStr">
        <is>
          <t>Task 0.3 — Initialize Prisma &amp; Provider Config</t>
        </is>
      </c>
      <c r="C10" s="39" t="inlineStr">
        <is>
          <t>Aayushmaan Singh Meyan</t>
        </is>
      </c>
      <c r="D10" s="20" t="n">
        <v>1</v>
      </c>
      <c r="E10" s="57" t="n">
        <v>46254</v>
      </c>
      <c r="F10" s="58" t="n">
        <v>46256</v>
      </c>
      <c r="G10" s="16" t="n"/>
      <c r="H10" s="16">
        <f>IF(OR(ISBLANK(task_start),ISBLANK(task_end)),"",task_end-task_start+1)</f>
        <v/>
      </c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37" t="n"/>
      <c r="AY10" s="37" t="n"/>
      <c r="AZ10" s="37" t="n"/>
      <c r="BA10" s="37" t="n"/>
      <c r="BB10" s="37" t="n"/>
      <c r="BC10" s="37" t="n"/>
      <c r="BD10" s="37" t="n"/>
      <c r="BE10" s="37" t="n"/>
      <c r="BF10" s="37" t="n"/>
      <c r="BG10" s="37" t="n"/>
      <c r="BH10" s="37" t="n"/>
      <c r="BI10" s="37" t="n"/>
      <c r="BJ10" s="37" t="n"/>
      <c r="BK10" s="37" t="n"/>
      <c r="BL10" s="37" t="n"/>
    </row>
    <row r="11" ht="21.75" customFormat="1" customHeight="1" s="3" thickBot="1">
      <c r="A11" s="15" t="n"/>
      <c r="B11" s="38" t="inlineStr">
        <is>
          <t>Task 0.4 — Create .env.example Environment Spec</t>
        </is>
      </c>
      <c r="C11" s="39" t="inlineStr">
        <is>
          <t>Aayushmaan Singh Meyan</t>
        </is>
      </c>
      <c r="D11" s="20" t="n">
        <v>1</v>
      </c>
      <c r="E11" s="57" t="n">
        <v>46256</v>
      </c>
      <c r="F11" s="58" t="n">
        <v>46257</v>
      </c>
      <c r="G11" s="16" t="n"/>
      <c r="H11" s="16">
        <f>IF(OR(ISBLANK(task_start),ISBLANK(task_end)),"",task_end-task_start+1)</f>
        <v/>
      </c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37" t="n"/>
      <c r="AY11" s="37" t="n"/>
      <c r="AZ11" s="37" t="n"/>
      <c r="BA11" s="37" t="n"/>
      <c r="BB11" s="37" t="n"/>
      <c r="BC11" s="37" t="n"/>
      <c r="BD11" s="37" t="n"/>
      <c r="BE11" s="37" t="n"/>
      <c r="BF11" s="37" t="n"/>
      <c r="BG11" s="37" t="n"/>
      <c r="BH11" s="37" t="n"/>
      <c r="BI11" s="37" t="n"/>
      <c r="BJ11" s="37" t="n"/>
      <c r="BK11" s="37" t="n"/>
      <c r="BL11" s="37" t="n"/>
    </row>
    <row r="12" ht="21.75" customFormat="1" customHeight="1" s="3" thickBot="1">
      <c r="A12" s="15" t="n"/>
      <c r="B12" s="38" t="inlineStr">
        <is>
          <t>Task 0.5 — Update Build &amp; Dev Makefile in code/</t>
        </is>
      </c>
      <c r="C12" s="39" t="inlineStr">
        <is>
          <t>Aayushmaan Singh Meyan</t>
        </is>
      </c>
      <c r="D12" s="20" t="n">
        <v>1</v>
      </c>
      <c r="E12" s="57" t="n">
        <v>46258</v>
      </c>
      <c r="F12" s="58" t="n">
        <v>46259</v>
      </c>
      <c r="G12" s="16" t="n"/>
      <c r="H12" s="16">
        <f>IF(OR(ISBLANK(task_start),ISBLANK(task_end)),"",task_end-task_start+1)</f>
        <v/>
      </c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  <c r="BA12" s="37" t="n"/>
      <c r="BB12" s="37" t="n"/>
      <c r="BC12" s="37" t="n"/>
      <c r="BD12" s="37" t="n"/>
      <c r="BE12" s="37" t="n"/>
      <c r="BF12" s="37" t="n"/>
      <c r="BG12" s="37" t="n"/>
      <c r="BH12" s="37" t="n"/>
      <c r="BI12" s="37" t="n"/>
      <c r="BJ12" s="37" t="n"/>
      <c r="BK12" s="37" t="n"/>
      <c r="BL12" s="37" t="n"/>
    </row>
    <row r="13" ht="21.75" customFormat="1" customHeight="1" s="3" thickBot="1">
      <c r="A13" s="15" t="n"/>
      <c r="B13" s="38" t="inlineStr">
        <is>
          <t>Task 0.6 — Configure next.config.ts (Remote Images)</t>
        </is>
      </c>
      <c r="C13" s="39" t="inlineStr">
        <is>
          <t>Aayushmaan Singh Meyan</t>
        </is>
      </c>
      <c r="D13" s="20" t="n">
        <v>1</v>
      </c>
      <c r="E13" s="57" t="n">
        <v>46259</v>
      </c>
      <c r="F13" s="58" t="n">
        <v>46260</v>
      </c>
      <c r="G13" s="16" t="n"/>
      <c r="H13" s="16">
        <f>IF(OR(ISBLANK(task_start),ISBLANK(task_end)),"",task_end-task_start+1)</f>
        <v/>
      </c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  <c r="BA13" s="37" t="n"/>
      <c r="BB13" s="37" t="n"/>
      <c r="BC13" s="37" t="n"/>
      <c r="BD13" s="37" t="n"/>
      <c r="BE13" s="37" t="n"/>
      <c r="BF13" s="37" t="n"/>
      <c r="BG13" s="37" t="n"/>
      <c r="BH13" s="37" t="n"/>
      <c r="BI13" s="37" t="n"/>
      <c r="BJ13" s="37" t="n"/>
      <c r="BK13" s="37" t="n"/>
      <c r="BL13" s="37" t="n"/>
    </row>
    <row r="14" ht="21.75" customFormat="1" customHeight="1" s="3" thickBot="1">
      <c r="A14" s="15" t="n"/>
      <c r="B14" s="38" t="inlineStr">
        <is>
          <t>Task 0.7 — Configure Global Styles (globals.css)</t>
        </is>
      </c>
      <c r="C14" s="39" t="inlineStr">
        <is>
          <t>Aayushmaan Singh Meyan</t>
        </is>
      </c>
      <c r="D14" s="20" t="n">
        <v>1</v>
      </c>
      <c r="E14" s="57" t="n">
        <v>46260</v>
      </c>
      <c r="F14" s="58" t="n">
        <v>46262</v>
      </c>
      <c r="G14" s="16" t="n"/>
      <c r="H14" s="16">
        <f>IF(OR(ISBLANK(task_start),ISBLANK(task_end)),"",task_end-task_start+1)</f>
        <v/>
      </c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  <c r="BA14" s="37" t="n"/>
      <c r="BB14" s="37" t="n"/>
      <c r="BC14" s="37" t="n"/>
      <c r="BD14" s="37" t="n"/>
      <c r="BE14" s="37" t="n"/>
      <c r="BF14" s="37" t="n"/>
      <c r="BG14" s="37" t="n"/>
      <c r="BH14" s="37" t="n"/>
      <c r="BI14" s="37" t="n"/>
      <c r="BJ14" s="37" t="n"/>
      <c r="BK14" s="37" t="n"/>
      <c r="BL14" s="37" t="n"/>
    </row>
    <row r="15" ht="21.75" customFormat="1" customHeight="1" s="3" thickBot="1">
      <c r="A15" s="15" t="n"/>
      <c r="B15" s="35" t="inlineStr">
        <is>
          <t>Phase 1 — Database Schema (Prisma)</t>
        </is>
      </c>
      <c r="C15" s="17" t="n"/>
      <c r="D15" s="18" t="n"/>
      <c r="E15" s="36" t="n"/>
      <c r="F15" s="19" t="n"/>
      <c r="G15" s="16" t="n"/>
      <c r="H15" s="16">
        <f>IF(OR(ISBLANK(task_start),ISBLANK(task_end)),"",task_end-task_start+1)</f>
        <v/>
      </c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  <c r="BA15" s="37" t="n"/>
      <c r="BB15" s="37" t="n"/>
      <c r="BC15" s="37" t="n"/>
      <c r="BD15" s="37" t="n"/>
      <c r="BE15" s="37" t="n"/>
      <c r="BF15" s="37" t="n"/>
      <c r="BG15" s="37" t="n"/>
      <c r="BH15" s="37" t="n"/>
      <c r="BI15" s="37" t="n"/>
      <c r="BJ15" s="37" t="n"/>
      <c r="BK15" s="37" t="n"/>
      <c r="BL15" s="37" t="n"/>
    </row>
    <row r="16" ht="21.75" customFormat="1" customHeight="1" s="3" thickBot="1">
      <c r="A16" s="15" t="n"/>
      <c r="B16" s="38" t="inlineStr">
        <is>
          <t>Task 1.1 — Define Prisma Schema (14 Models &amp; Enums)</t>
        </is>
      </c>
      <c r="C16" s="39" t="inlineStr">
        <is>
          <t>Aayushmaan Singh Meyan</t>
        </is>
      </c>
      <c r="D16" s="20" t="n">
        <v>1</v>
      </c>
      <c r="E16" s="57" t="n">
        <v>46262</v>
      </c>
      <c r="F16" s="58" t="n">
        <v>46264</v>
      </c>
      <c r="G16" s="16" t="n"/>
      <c r="H16" s="16">
        <f>IF(OR(ISBLANK(task_start),ISBLANK(task_end)),"",task_end-task_start+1)</f>
        <v/>
      </c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  <c r="BA16" s="37" t="n"/>
      <c r="BB16" s="37" t="n"/>
      <c r="BC16" s="37" t="n"/>
      <c r="BD16" s="37" t="n"/>
      <c r="BE16" s="37" t="n"/>
      <c r="BF16" s="37" t="n"/>
      <c r="BG16" s="37" t="n"/>
      <c r="BH16" s="37" t="n"/>
      <c r="BI16" s="37" t="n"/>
      <c r="BJ16" s="37" t="n"/>
      <c r="BK16" s="37" t="n"/>
      <c r="BL16" s="37" t="n"/>
    </row>
    <row r="17" ht="21.75" customFormat="1" customHeight="1" s="3" thickBot="1">
      <c r="A17" s="15" t="n"/>
      <c r="B17" s="38" t="inlineStr">
        <is>
          <t>Task 1.2 — Run Initial Migration &amp; Generate Client</t>
        </is>
      </c>
      <c r="C17" s="39" t="inlineStr">
        <is>
          <t>Aayushmaan Singh Meyan</t>
        </is>
      </c>
      <c r="D17" s="20" t="n">
        <v>1</v>
      </c>
      <c r="E17" s="57" t="n">
        <v>46264</v>
      </c>
      <c r="F17" s="58" t="n">
        <v>46265</v>
      </c>
      <c r="G17" s="16" t="n"/>
      <c r="H17" s="16">
        <f>IF(OR(ISBLANK(task_start),ISBLANK(task_end)),"",task_end-task_start+1)</f>
        <v/>
      </c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  <c r="BA17" s="37" t="n"/>
      <c r="BB17" s="37" t="n"/>
      <c r="BC17" s="37" t="n"/>
      <c r="BD17" s="37" t="n"/>
      <c r="BE17" s="37" t="n"/>
      <c r="BF17" s="37" t="n"/>
      <c r="BG17" s="37" t="n"/>
      <c r="BH17" s="37" t="n"/>
      <c r="BI17" s="37" t="n"/>
      <c r="BJ17" s="37" t="n"/>
      <c r="BK17" s="37" t="n"/>
      <c r="BL17" s="37" t="n"/>
    </row>
    <row r="18" ht="21.75" customFormat="1" customHeight="1" s="3" thickBot="1">
      <c r="A18" s="15" t="n"/>
      <c r="B18" s="38" t="inlineStr">
        <is>
          <t>Task 1.3 — Create Seed File (prisma/seed.ts)</t>
        </is>
      </c>
      <c r="C18" s="39" t="inlineStr">
        <is>
          <t>Aayushmaan Singh Meyan</t>
        </is>
      </c>
      <c r="D18" s="20" t="n">
        <v>1</v>
      </c>
      <c r="E18" s="57" t="n">
        <v>46265</v>
      </c>
      <c r="F18" s="58" t="n">
        <v>46266</v>
      </c>
      <c r="G18" s="16" t="n"/>
      <c r="H18" s="16">
        <f>IF(OR(ISBLANK(task_start),ISBLANK(task_end)),"",task_end-task_start+1)</f>
        <v/>
      </c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  <c r="BA18" s="37" t="n"/>
      <c r="BB18" s="37" t="n"/>
      <c r="BC18" s="37" t="n"/>
      <c r="BD18" s="37" t="n"/>
      <c r="BE18" s="37" t="n"/>
      <c r="BF18" s="37" t="n"/>
      <c r="BG18" s="37" t="n"/>
      <c r="BH18" s="37" t="n"/>
      <c r="BI18" s="37" t="n"/>
      <c r="BJ18" s="37" t="n"/>
      <c r="BK18" s="37" t="n"/>
      <c r="BL18" s="37" t="n"/>
    </row>
    <row r="19" ht="21.75" customFormat="1" customHeight="1" s="3" thickBot="1">
      <c r="A19" s="15" t="n"/>
      <c r="B19" s="35" t="inlineStr">
        <is>
          <t>Phase 2 — Core Library Setup</t>
        </is>
      </c>
      <c r="C19" s="17" t="n"/>
      <c r="D19" s="18" t="n"/>
      <c r="E19" s="36" t="n"/>
      <c r="F19" s="19" t="n"/>
      <c r="G19" s="16" t="n"/>
      <c r="H19" s="16">
        <f>IF(OR(ISBLANK(task_start),ISBLANK(task_end)),"",task_end-task_start+1)</f>
        <v/>
      </c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  <c r="BA19" s="37" t="n"/>
      <c r="BB19" s="37" t="n"/>
      <c r="BC19" s="37" t="n"/>
      <c r="BD19" s="37" t="n"/>
      <c r="BE19" s="37" t="n"/>
      <c r="BF19" s="37" t="n"/>
      <c r="BG19" s="37" t="n"/>
      <c r="BH19" s="37" t="n"/>
      <c r="BI19" s="37" t="n"/>
      <c r="BJ19" s="37" t="n"/>
      <c r="BK19" s="37" t="n"/>
      <c r="BL19" s="37" t="n"/>
    </row>
    <row r="20" ht="21.75" customFormat="1" customHeight="1" s="3" thickBot="1">
      <c r="A20" s="15" t="n"/>
      <c r="B20" s="38" t="inlineStr">
        <is>
          <t>Task 2.1 — Prisma Client Singleton (src/lib/prisma.ts)</t>
        </is>
      </c>
      <c r="C20" s="39" t="inlineStr">
        <is>
          <t>Divyansh Jasrotia</t>
        </is>
      </c>
      <c r="D20" s="20" t="n">
        <v>1</v>
      </c>
      <c r="E20" s="57" t="n">
        <v>46266</v>
      </c>
      <c r="F20" s="58" t="n">
        <v>46267</v>
      </c>
      <c r="G20" s="16" t="n"/>
      <c r="H20" s="16">
        <f>IF(OR(ISBLANK(task_start),ISBLANK(task_end)),"",task_end-task_start+1)</f>
        <v/>
      </c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  <c r="BA20" s="37" t="n"/>
      <c r="BB20" s="37" t="n"/>
      <c r="BC20" s="37" t="n"/>
      <c r="BD20" s="37" t="n"/>
      <c r="BE20" s="37" t="n"/>
      <c r="BF20" s="37" t="n"/>
      <c r="BG20" s="37" t="n"/>
      <c r="BH20" s="37" t="n"/>
      <c r="BI20" s="37" t="n"/>
      <c r="BJ20" s="37" t="n"/>
      <c r="BK20" s="37" t="n"/>
      <c r="BL20" s="37" t="n"/>
    </row>
    <row r="21" ht="21.75" customFormat="1" customHeight="1" s="3" thickBot="1">
      <c r="A21" s="15" t="n"/>
      <c r="B21" s="38" t="inlineStr">
        <is>
          <t>Task 2.2 — NextAuth Configuration (src/lib/auth.ts)</t>
        </is>
      </c>
      <c r="C21" s="39" t="inlineStr">
        <is>
          <t>Divyansh Jasrotia</t>
        </is>
      </c>
      <c r="D21" s="20" t="n">
        <v>1</v>
      </c>
      <c r="E21" s="57" t="n">
        <v>46266</v>
      </c>
      <c r="F21" s="58" t="n">
        <v>46267</v>
      </c>
      <c r="G21" s="16" t="n"/>
      <c r="H21" s="16">
        <f>IF(OR(ISBLANK(task_start),ISBLANK(task_end)),"",task_end-task_start+1)</f>
        <v/>
      </c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7" t="n"/>
      <c r="BJ21" s="37" t="n"/>
      <c r="BK21" s="37" t="n"/>
      <c r="BL21" s="37" t="n"/>
    </row>
    <row r="22" ht="21.75" customFormat="1" customHeight="1" s="3" thickBot="1">
      <c r="A22" s="15" t="n"/>
      <c r="B22" s="38" t="inlineStr">
        <is>
          <t>Task 2.3 — TypeScript Type Extensions (src/types/next-auth.d.ts)</t>
        </is>
      </c>
      <c r="C22" s="39" t="inlineStr">
        <is>
          <t>Divyansh Jasrotia</t>
        </is>
      </c>
      <c r="D22" s="20" t="n">
        <v>1</v>
      </c>
      <c r="E22" s="57" t="n">
        <v>46267</v>
      </c>
      <c r="F22" s="58" t="n">
        <v>46267</v>
      </c>
      <c r="G22" s="16" t="n"/>
      <c r="H22" s="16">
        <f>IF(OR(ISBLANK(task_start),ISBLANK(task_end)),"",task_end-task_start+1)</f>
        <v/>
      </c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  <c r="BA22" s="37" t="n"/>
      <c r="BB22" s="37" t="n"/>
      <c r="BC22" s="37" t="n"/>
      <c r="BD22" s="37" t="n"/>
      <c r="BE22" s="37" t="n"/>
      <c r="BF22" s="37" t="n"/>
      <c r="BG22" s="37" t="n"/>
      <c r="BH22" s="37" t="n"/>
      <c r="BI22" s="37" t="n"/>
      <c r="BJ22" s="37" t="n"/>
      <c r="BK22" s="37" t="n"/>
      <c r="BL22" s="37" t="n"/>
    </row>
    <row r="23" ht="21.75" customFormat="1" customHeight="1" s="3" thickBot="1">
      <c r="A23" s="15" t="n"/>
      <c r="B23" s="38" t="inlineStr">
        <is>
          <t>Task 2.4 — Cloudinary Helper (src/lib/cloudinary.ts)</t>
        </is>
      </c>
      <c r="C23" s="39" t="inlineStr">
        <is>
          <t>Divyansh Jasrotia</t>
        </is>
      </c>
      <c r="D23" s="20" t="n">
        <v>1</v>
      </c>
      <c r="E23" s="57" t="n">
        <v>46267</v>
      </c>
      <c r="F23" s="58" t="n">
        <v>46267</v>
      </c>
      <c r="G23" s="16" t="n"/>
      <c r="H23" s="16">
        <f>IF(OR(ISBLANK(task_start),ISBLANK(task_end)),"",task_end-task_start+1)</f>
        <v/>
      </c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  <c r="BA23" s="37" t="n"/>
      <c r="BB23" s="37" t="n"/>
      <c r="BC23" s="37" t="n"/>
      <c r="BD23" s="37" t="n"/>
      <c r="BE23" s="37" t="n"/>
      <c r="BF23" s="37" t="n"/>
      <c r="BG23" s="37" t="n"/>
      <c r="BH23" s="37" t="n"/>
      <c r="BI23" s="37" t="n"/>
      <c r="BJ23" s="37" t="n"/>
      <c r="BK23" s="37" t="n"/>
      <c r="BL23" s="37" t="n"/>
    </row>
    <row r="24" ht="21.75" customFormat="1" customHeight="1" s="3" thickBot="1">
      <c r="A24" s="15" t="n"/>
      <c r="B24" s="38" t="inlineStr">
        <is>
          <t>Task 2.5 — Gemini AI Helper (src/lib/gemini.ts)</t>
        </is>
      </c>
      <c r="C24" s="39" t="inlineStr">
        <is>
          <t>Prakhar Saxena</t>
        </is>
      </c>
      <c r="D24" s="20" t="n">
        <v>1</v>
      </c>
      <c r="E24" s="57" t="n">
        <v>46268</v>
      </c>
      <c r="F24" s="58" t="n">
        <v>46269</v>
      </c>
      <c r="G24" s="16" t="n"/>
      <c r="H24" s="16">
        <f>IF(OR(ISBLANK(task_start),ISBLANK(task_end)),"",task_end-task_start+1)</f>
        <v/>
      </c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  <c r="BA24" s="37" t="n"/>
      <c r="BB24" s="37" t="n"/>
      <c r="BC24" s="37" t="n"/>
      <c r="BD24" s="37" t="n"/>
      <c r="BE24" s="37" t="n"/>
      <c r="BF24" s="37" t="n"/>
      <c r="BG24" s="37" t="n"/>
      <c r="BH24" s="37" t="n"/>
      <c r="BI24" s="37" t="n"/>
      <c r="BJ24" s="37" t="n"/>
      <c r="BK24" s="37" t="n"/>
      <c r="BL24" s="37" t="n"/>
    </row>
    <row r="25" ht="21.75" customFormat="1" customHeight="1" s="3" thickBot="1">
      <c r="A25" s="15" t="n"/>
      <c r="B25" s="38" t="inlineStr">
        <is>
          <t>Task 2.6 — Utility Functions (src/lib/utils.ts)</t>
        </is>
      </c>
      <c r="C25" s="39" t="inlineStr">
        <is>
          <t>Prakhar Saxena</t>
        </is>
      </c>
      <c r="D25" s="20" t="n">
        <v>1</v>
      </c>
      <c r="E25" s="57" t="n">
        <v>46269</v>
      </c>
      <c r="F25" s="58" t="n">
        <v>46270</v>
      </c>
      <c r="G25" s="16" t="n"/>
      <c r="H25" s="16">
        <f>IF(OR(ISBLANK(task_start),ISBLANK(task_end)),"",task_end-task_start+1)</f>
        <v/>
      </c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  <c r="BA25" s="37" t="n"/>
      <c r="BB25" s="37" t="n"/>
      <c r="BC25" s="37" t="n"/>
      <c r="BD25" s="37" t="n"/>
      <c r="BE25" s="37" t="n"/>
      <c r="BF25" s="37" t="n"/>
      <c r="BG25" s="37" t="n"/>
      <c r="BH25" s="37" t="n"/>
      <c r="BI25" s="37" t="n"/>
      <c r="BJ25" s="37" t="n"/>
      <c r="BK25" s="37" t="n"/>
      <c r="BL25" s="37" t="n"/>
    </row>
    <row r="26" ht="21.75" customFormat="1" customHeight="1" s="3" thickBot="1">
      <c r="A26" s="15" t="n"/>
      <c r="B26" s="38" t="inlineStr">
        <is>
          <t>Task 2.7 — Socket.io Client Helper (src/lib/socket.ts)</t>
        </is>
      </c>
      <c r="C26" s="39" t="inlineStr">
        <is>
          <t>Prakhar Saxena</t>
        </is>
      </c>
      <c r="D26" s="20" t="n">
        <v>1</v>
      </c>
      <c r="E26" s="57" t="n">
        <v>46270</v>
      </c>
      <c r="F26" s="58" t="n">
        <v>46271</v>
      </c>
      <c r="G26" s="16" t="n"/>
      <c r="H26" s="16">
        <f>IF(OR(ISBLANK(task_start),ISBLANK(task_end)),"",task_end-task_start+1)</f>
        <v/>
      </c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  <c r="BA26" s="37" t="n"/>
      <c r="BB26" s="37" t="n"/>
      <c r="BC26" s="37" t="n"/>
      <c r="BD26" s="37" t="n"/>
      <c r="BE26" s="37" t="n"/>
      <c r="BF26" s="37" t="n"/>
      <c r="BG26" s="37" t="n"/>
      <c r="BH26" s="37" t="n"/>
      <c r="BI26" s="37" t="n"/>
      <c r="BJ26" s="37" t="n"/>
      <c r="BK26" s="37" t="n"/>
      <c r="BL26" s="37" t="n"/>
    </row>
    <row r="27" ht="21.75" customFormat="1" customHeight="1" s="3" thickBot="1">
      <c r="A27" s="15" t="n"/>
      <c r="B27" s="38" t="inlineStr">
        <is>
          <t>Task 2.8 — Route Guard Middleware (src/middleware.ts)</t>
        </is>
      </c>
      <c r="C27" s="39" t="inlineStr">
        <is>
          <t>Prakhar Saxena</t>
        </is>
      </c>
      <c r="D27" s="20" t="n">
        <v>1</v>
      </c>
      <c r="E27" s="57" t="n">
        <v>46271</v>
      </c>
      <c r="F27" s="58" t="n">
        <v>46271</v>
      </c>
      <c r="G27" s="16" t="n"/>
      <c r="H27" s="16">
        <f>IF(OR(ISBLANK(task_start),ISBLANK(task_end)),"",task_end-task_start+1)</f>
        <v/>
      </c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  <c r="BA27" s="37" t="n"/>
      <c r="BB27" s="37" t="n"/>
      <c r="BC27" s="37" t="n"/>
      <c r="BD27" s="37" t="n"/>
      <c r="BE27" s="37" t="n"/>
      <c r="BF27" s="37" t="n"/>
      <c r="BG27" s="37" t="n"/>
      <c r="BH27" s="37" t="n"/>
      <c r="BI27" s="37" t="n"/>
      <c r="BJ27" s="37" t="n"/>
      <c r="BK27" s="37" t="n"/>
      <c r="BL27" s="37" t="n"/>
    </row>
    <row r="28" ht="21.75" customFormat="1" customHeight="1" s="3" thickBot="1">
      <c r="A28" s="15" t="n"/>
      <c r="B28" s="35" t="inlineStr">
        <is>
          <t>Phase 3 — Deliverable 1: Authentication &amp; User System</t>
        </is>
      </c>
      <c r="C28" s="17" t="n"/>
      <c r="D28" s="18" t="n"/>
      <c r="E28" s="36" t="n"/>
      <c r="F28" s="19" t="n"/>
      <c r="G28" s="16" t="n"/>
      <c r="H28" s="16">
        <f>IF(OR(ISBLANK(task_start),ISBLANK(task_end)),"",task_end-task_start+1)</f>
        <v/>
      </c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  <c r="BA28" s="37" t="n"/>
      <c r="BB28" s="37" t="n"/>
      <c r="BC28" s="37" t="n"/>
      <c r="BD28" s="37" t="n"/>
      <c r="BE28" s="37" t="n"/>
      <c r="BF28" s="37" t="n"/>
      <c r="BG28" s="37" t="n"/>
      <c r="BH28" s="37" t="n"/>
      <c r="BI28" s="37" t="n"/>
      <c r="BJ28" s="37" t="n"/>
      <c r="BK28" s="37" t="n"/>
      <c r="BL28" s="37" t="n"/>
    </row>
    <row r="29" ht="21.75" customFormat="1" customHeight="1" s="3" thickBot="1">
      <c r="A29" s="15" t="n"/>
      <c r="B29" s="38" t="inlineStr">
        <is>
          <t>Task 3.1 — NextAuth API Route (src/app/api/auth/[...nextauth]/route.ts)</t>
        </is>
      </c>
      <c r="C29" s="39" t="n"/>
      <c r="D29" s="20" t="n"/>
      <c r="E29" s="57" t="n"/>
      <c r="F29" s="58" t="n"/>
      <c r="G29" s="16" t="n"/>
      <c r="H29" s="16">
        <f>IF(OR(ISBLANK(task_start),ISBLANK(task_end)),"",task_end-task_start+1)</f>
        <v/>
      </c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  <c r="BA29" s="37" t="n"/>
      <c r="BB29" s="37" t="n"/>
      <c r="BC29" s="37" t="n"/>
      <c r="BD29" s="37" t="n"/>
      <c r="BE29" s="37" t="n"/>
      <c r="BF29" s="37" t="n"/>
      <c r="BG29" s="37" t="n"/>
      <c r="BH29" s="37" t="n"/>
      <c r="BI29" s="37" t="n"/>
      <c r="BJ29" s="37" t="n"/>
      <c r="BK29" s="37" t="n"/>
      <c r="BL29" s="37" t="n"/>
    </row>
    <row r="30" ht="21.75" customFormat="1" customHeight="1" s="3" thickBot="1">
      <c r="A30" s="15" t="n"/>
      <c r="B30" s="38" t="inlineStr">
        <is>
          <t>Task 3.2 — Register API (src/app/api/register/route.ts)</t>
        </is>
      </c>
      <c r="C30" s="39" t="n"/>
      <c r="D30" s="20" t="n"/>
      <c r="E30" s="57" t="n"/>
      <c r="F30" s="58" t="n"/>
      <c r="G30" s="16" t="n"/>
      <c r="H30" s="16">
        <f>IF(OR(ISBLANK(task_start),ISBLANK(task_end)),"",task_end-task_start+1)</f>
        <v/>
      </c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  <c r="BA30" s="37" t="n"/>
      <c r="BB30" s="37" t="n"/>
      <c r="BC30" s="37" t="n"/>
      <c r="BD30" s="37" t="n"/>
      <c r="BE30" s="37" t="n"/>
      <c r="BF30" s="37" t="n"/>
      <c r="BG30" s="37" t="n"/>
      <c r="BH30" s="37" t="n"/>
      <c r="BI30" s="37" t="n"/>
      <c r="BJ30" s="37" t="n"/>
      <c r="BK30" s="37" t="n"/>
      <c r="BL30" s="37" t="n"/>
    </row>
    <row r="31" ht="21.75" customFormat="1" customHeight="1" s="3" thickBot="1">
      <c r="A31" s="15" t="n"/>
      <c r="B31" s="38" t="inlineStr">
        <is>
          <t>Task 3.3 — Auth Pages UI (Layout, Login, Register, Verify)</t>
        </is>
      </c>
      <c r="C31" s="39" t="n"/>
      <c r="D31" s="20" t="n"/>
      <c r="E31" s="57" t="n"/>
      <c r="F31" s="58" t="n"/>
      <c r="G31" s="16" t="n"/>
      <c r="H31" s="16">
        <f>IF(OR(ISBLANK(task_start),ISBLANK(task_end)),"",task_end-task_start+1)</f>
        <v/>
      </c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  <c r="BA31" s="37" t="n"/>
      <c r="BB31" s="37" t="n"/>
      <c r="BC31" s="37" t="n"/>
      <c r="BD31" s="37" t="n"/>
      <c r="BE31" s="37" t="n"/>
      <c r="BF31" s="37" t="n"/>
      <c r="BG31" s="37" t="n"/>
      <c r="BH31" s="37" t="n"/>
      <c r="BI31" s="37" t="n"/>
      <c r="BJ31" s="37" t="n"/>
      <c r="BK31" s="37" t="n"/>
      <c r="BL31" s="37" t="n"/>
    </row>
    <row r="32" ht="21.75" customFormat="1" customHeight="1" s="3" thickBot="1">
      <c r="A32" s="15" t="n"/>
      <c r="B32" s="38" t="inlineStr">
        <is>
          <t>Task 3.4 — Session Provider Wrapper (src/app/layout.tsx)</t>
        </is>
      </c>
      <c r="C32" s="39" t="n"/>
      <c r="D32" s="20" t="n"/>
      <c r="E32" s="57" t="n"/>
      <c r="F32" s="58" t="n"/>
      <c r="G32" s="16" t="n"/>
      <c r="H32" s="16">
        <f>IF(OR(ISBLANK(task_start),ISBLANK(task_end)),"",task_end-task_start+1)</f>
        <v/>
      </c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  <c r="BA32" s="37" t="n"/>
      <c r="BB32" s="37" t="n"/>
      <c r="BC32" s="37" t="n"/>
      <c r="BD32" s="37" t="n"/>
      <c r="BE32" s="37" t="n"/>
      <c r="BF32" s="37" t="n"/>
      <c r="BG32" s="37" t="n"/>
      <c r="BH32" s="37" t="n"/>
      <c r="BI32" s="37" t="n"/>
      <c r="BJ32" s="37" t="n"/>
      <c r="BK32" s="37" t="n"/>
      <c r="BL32" s="37" t="n"/>
    </row>
    <row r="33" ht="21.75" customFormat="1" customHeight="1" s="3" thickBot="1">
      <c r="A33" s="15" t="n"/>
      <c r="B33" s="38" t="inlineStr">
        <is>
          <t>Task 3.5 — Invite Link System (src/app/api/admin/invite/route.ts)</t>
        </is>
      </c>
      <c r="C33" s="39" t="n"/>
      <c r="D33" s="20" t="n"/>
      <c r="E33" s="57" t="n"/>
      <c r="F33" s="58" t="n"/>
      <c r="G33" s="16" t="n"/>
      <c r="H33" s="16">
        <f>IF(OR(ISBLANK(task_start),ISBLANK(task_end)),"",task_end-task_start+1)</f>
        <v/>
      </c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  <c r="BA33" s="37" t="n"/>
      <c r="BB33" s="37" t="n"/>
      <c r="BC33" s="37" t="n"/>
      <c r="BD33" s="37" t="n"/>
      <c r="BE33" s="37" t="n"/>
      <c r="BF33" s="37" t="n"/>
      <c r="BG33" s="37" t="n"/>
      <c r="BH33" s="37" t="n"/>
      <c r="BI33" s="37" t="n"/>
      <c r="BJ33" s="37" t="n"/>
      <c r="BK33" s="37" t="n"/>
      <c r="BL33" s="37" t="n"/>
    </row>
    <row r="34" ht="21.75" customFormat="1" customHeight="1" s="3" thickBot="1">
      <c r="A34" s="15" t="n"/>
      <c r="B34" s="35" t="inlineStr">
        <is>
          <t>Phase 4 — Deliverable 2: User Profiles &amp; Social Network</t>
        </is>
      </c>
      <c r="C34" s="17" t="n"/>
      <c r="D34" s="18" t="n"/>
      <c r="E34" s="36" t="n"/>
      <c r="F34" s="19" t="n"/>
      <c r="G34" s="16" t="n"/>
      <c r="H34" s="16">
        <f>IF(OR(ISBLANK(task_start),ISBLANK(task_end)),"",task_end-task_start+1)</f>
        <v/>
      </c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  <c r="BA34" s="37" t="n"/>
      <c r="BB34" s="37" t="n"/>
      <c r="BC34" s="37" t="n"/>
      <c r="BD34" s="37" t="n"/>
      <c r="BE34" s="37" t="n"/>
      <c r="BF34" s="37" t="n"/>
      <c r="BG34" s="37" t="n"/>
      <c r="BH34" s="37" t="n"/>
      <c r="BI34" s="37" t="n"/>
      <c r="BJ34" s="37" t="n"/>
      <c r="BK34" s="37" t="n"/>
      <c r="BL34" s="37" t="n"/>
    </row>
    <row r="35" ht="21.75" customFormat="1" customHeight="1" s="3" thickBot="1">
      <c r="A35" s="15" t="n"/>
      <c r="B35" s="38" t="inlineStr">
        <is>
          <t>Task 4.1 — Dashboard Layout (src/app/(dashboard)/layout.tsx)</t>
        </is>
      </c>
      <c r="C35" s="39" t="n"/>
      <c r="D35" s="20" t="n"/>
      <c r="E35" s="57" t="n"/>
      <c r="F35" s="58" t="n"/>
      <c r="G35" s="16" t="n"/>
      <c r="H35" s="16">
        <f>IF(OR(ISBLANK(task_start),ISBLANK(task_end)),"",task_end-task_start+1)</f>
        <v/>
      </c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  <c r="BA35" s="37" t="n"/>
      <c r="BB35" s="37" t="n"/>
      <c r="BC35" s="37" t="n"/>
      <c r="BD35" s="37" t="n"/>
      <c r="BE35" s="37" t="n"/>
      <c r="BF35" s="37" t="n"/>
      <c r="BG35" s="37" t="n"/>
      <c r="BH35" s="37" t="n"/>
      <c r="BI35" s="37" t="n"/>
      <c r="BJ35" s="37" t="n"/>
      <c r="BK35" s="37" t="n"/>
      <c r="BL35" s="37" t="n"/>
    </row>
    <row r="36" ht="21.75" customFormat="1" customHeight="1" s="3" thickBot="1">
      <c r="A36" s="15" t="n"/>
      <c r="B36" s="38" t="inlineStr">
        <is>
          <t>Task 4.2 — Profile Page &amp; API (src/app/api/users/[id])</t>
        </is>
      </c>
      <c r="C36" s="39" t="n"/>
      <c r="D36" s="20" t="n"/>
      <c r="E36" s="57" t="n"/>
      <c r="F36" s="58" t="n"/>
      <c r="G36" s="16" t="n"/>
      <c r="H36" s="16">
        <f>IF(OR(ISBLANK(task_start),ISBLANK(task_end)),"",task_end-task_start+1)</f>
        <v/>
      </c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  <c r="BB36" s="37" t="n"/>
      <c r="BC36" s="37" t="n"/>
      <c r="BD36" s="37" t="n"/>
      <c r="BE36" s="37" t="n"/>
      <c r="BF36" s="37" t="n"/>
      <c r="BG36" s="37" t="n"/>
      <c r="BH36" s="37" t="n"/>
      <c r="BI36" s="37" t="n"/>
      <c r="BJ36" s="37" t="n"/>
      <c r="BK36" s="37" t="n"/>
      <c r="BL36" s="37" t="n"/>
    </row>
    <row r="37" ht="21.75" customFormat="1" customHeight="1" s="3" thickBot="1">
      <c r="A37" s="15" t="n"/>
      <c r="B37" s="38" t="inlineStr">
        <is>
          <t>Task 4.3 — Friend System API &amp; UI (src/app/api/friends)</t>
        </is>
      </c>
      <c r="C37" s="39" t="n"/>
      <c r="D37" s="20" t="n"/>
      <c r="E37" s="57" t="n"/>
      <c r="F37" s="58" t="n"/>
      <c r="G37" s="16" t="n"/>
      <c r="H37" s="16">
        <f>IF(OR(ISBLANK(task_start),ISBLANK(task_end)),"",task_end-task_start+1)</f>
        <v/>
      </c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  <c r="BB37" s="37" t="n"/>
      <c r="BC37" s="37" t="n"/>
      <c r="BD37" s="37" t="n"/>
      <c r="BE37" s="37" t="n"/>
      <c r="BF37" s="37" t="n"/>
      <c r="BG37" s="37" t="n"/>
      <c r="BH37" s="37" t="n"/>
      <c r="BI37" s="37" t="n"/>
      <c r="BJ37" s="37" t="n"/>
      <c r="BK37" s="37" t="n"/>
      <c r="BL37" s="37" t="n"/>
    </row>
    <row r="38" ht="21.75" customFormat="1" customHeight="1" s="3" thickBot="1">
      <c r="A38" s="15" t="n"/>
      <c r="B38" s="38" t="inlineStr">
        <is>
          <t>Task 4.4 — Social Feed API &amp; UI (src/app/api/posts)</t>
        </is>
      </c>
      <c r="C38" s="39" t="n"/>
      <c r="D38" s="20" t="n"/>
      <c r="E38" s="57" t="n"/>
      <c r="F38" s="58" t="n"/>
      <c r="G38" s="16" t="n"/>
      <c r="H38" s="16">
        <f>IF(OR(ISBLANK(task_start),ISBLANK(task_end)),"",task_end-task_start+1)</f>
        <v/>
      </c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  <c r="BB38" s="37" t="n"/>
      <c r="BC38" s="37" t="n"/>
      <c r="BD38" s="37" t="n"/>
      <c r="BE38" s="37" t="n"/>
      <c r="BF38" s="37" t="n"/>
      <c r="BG38" s="37" t="n"/>
      <c r="BH38" s="37" t="n"/>
      <c r="BI38" s="37" t="n"/>
      <c r="BJ38" s="37" t="n"/>
      <c r="BK38" s="37" t="n"/>
      <c r="BL38" s="37" t="n"/>
    </row>
    <row r="39" ht="21.75" customFormat="1" customHeight="1" s="3" thickBot="1">
      <c r="A39" s="15" t="n"/>
      <c r="B39" s="35" t="inlineStr">
        <is>
          <t>Phase 5 — Deliverable 3: Academic Groups &amp; Course Materials</t>
        </is>
      </c>
      <c r="C39" s="17" t="n"/>
      <c r="D39" s="18" t="n"/>
      <c r="E39" s="36" t="n"/>
      <c r="F39" s="19" t="n"/>
      <c r="G39" s="16" t="n"/>
      <c r="H39" s="16">
        <f>IF(OR(ISBLANK(task_start),ISBLANK(task_end)),"",task_end-task_start+1)</f>
        <v/>
      </c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  <c r="BB39" s="37" t="n"/>
      <c r="BC39" s="37" t="n"/>
      <c r="BD39" s="37" t="n"/>
      <c r="BE39" s="37" t="n"/>
      <c r="BF39" s="37" t="n"/>
      <c r="BG39" s="37" t="n"/>
      <c r="BH39" s="37" t="n"/>
      <c r="BI39" s="37" t="n"/>
      <c r="BJ39" s="37" t="n"/>
      <c r="BK39" s="37" t="n"/>
      <c r="BL39" s="37" t="n"/>
    </row>
    <row r="40" ht="21.75" customFormat="1" customHeight="1" s="3" thickBot="1">
      <c r="A40" s="15" t="n"/>
      <c r="B40" s="38" t="inlineStr">
        <is>
          <t>Task 5.1 — Groups API (src/app/api/groups)</t>
        </is>
      </c>
      <c r="C40" s="39" t="n"/>
      <c r="D40" s="20" t="n"/>
      <c r="E40" s="57" t="n"/>
      <c r="F40" s="58" t="n"/>
      <c r="G40" s="16" t="n"/>
      <c r="H40" s="16">
        <f>IF(OR(ISBLANK(task_start),ISBLANK(task_end)),"",task_end-task_start+1)</f>
        <v/>
      </c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  <c r="BB40" s="37" t="n"/>
      <c r="BC40" s="37" t="n"/>
      <c r="BD40" s="37" t="n"/>
      <c r="BE40" s="37" t="n"/>
      <c r="BF40" s="37" t="n"/>
      <c r="BG40" s="37" t="n"/>
      <c r="BH40" s="37" t="n"/>
      <c r="BI40" s="37" t="n"/>
      <c r="BJ40" s="37" t="n"/>
      <c r="BK40" s="37" t="n"/>
      <c r="BL40" s="37" t="n"/>
    </row>
    <row r="41" ht="21.75" customFormat="1" customHeight="1" s="3" thickBot="1">
      <c r="A41" s="15" t="n"/>
      <c r="B41" s="38" t="inlineStr">
        <is>
          <t>Task 5.2 — Group Pages UI (Grid, Feed, Members)</t>
        </is>
      </c>
      <c r="C41" s="39" t="n"/>
      <c r="D41" s="20" t="n"/>
      <c r="E41" s="57" t="n"/>
      <c r="F41" s="58" t="n"/>
      <c r="G41" s="16" t="n"/>
      <c r="H41" s="16">
        <f>IF(OR(ISBLANK(task_start),ISBLANK(task_end)),"",task_end-task_start+1)</f>
        <v/>
      </c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  <c r="BB41" s="37" t="n"/>
      <c r="BC41" s="37" t="n"/>
      <c r="BD41" s="37" t="n"/>
      <c r="BE41" s="37" t="n"/>
      <c r="BF41" s="37" t="n"/>
      <c r="BG41" s="37" t="n"/>
      <c r="BH41" s="37" t="n"/>
      <c r="BI41" s="37" t="n"/>
      <c r="BJ41" s="37" t="n"/>
      <c r="BK41" s="37" t="n"/>
      <c r="BL41" s="37" t="n"/>
    </row>
    <row r="42" ht="21.75" customHeight="1" s="48">
      <c r="A42" s="15" t="n"/>
      <c r="B42" s="38" t="inlineStr">
        <is>
          <t>Task 5.3 — Course Materials API (src/app/api/groups/[id]/materials)</t>
        </is>
      </c>
      <c r="C42" s="39" t="n"/>
      <c r="D42" s="42" t="n"/>
      <c r="E42" s="57" t="n"/>
      <c r="F42" s="58" t="n"/>
      <c r="G42" s="16" t="n"/>
      <c r="H42" s="16">
        <f>IF(OR(ISBLANK(task_start),ISBLANK(task_end)),"",task_end-task_start+1)</f>
        <v/>
      </c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  <c r="BB42" s="37" t="n"/>
      <c r="BC42" s="37" t="n"/>
      <c r="BD42" s="37" t="n"/>
      <c r="BE42" s="37" t="n"/>
      <c r="BF42" s="37" t="n"/>
      <c r="BG42" s="37" t="n"/>
      <c r="BH42" s="37" t="n"/>
      <c r="BI42" s="37" t="n"/>
      <c r="BJ42" s="37" t="n"/>
      <c r="BK42" s="37" t="n"/>
      <c r="BL42" s="37" t="n"/>
    </row>
    <row r="43" ht="21.75" customHeight="1" s="48">
      <c r="A43" s="15" t="n"/>
      <c r="B43" s="38" t="inlineStr">
        <is>
          <t>Task 5.4 — Course Materials UI (FileUploader &amp; PdfViewerModal)</t>
        </is>
      </c>
      <c r="C43" s="39" t="n"/>
      <c r="D43" s="42" t="n"/>
      <c r="E43" s="57" t="n"/>
      <c r="F43" s="58" t="n"/>
      <c r="G43" s="16" t="n"/>
      <c r="H43" s="16">
        <f>IF(OR(ISBLANK(task_start),ISBLANK(task_end)),"",task_end-task_start+1)</f>
        <v/>
      </c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  <c r="BB43" s="37" t="n"/>
      <c r="BC43" s="37" t="n"/>
      <c r="BD43" s="37" t="n"/>
      <c r="BE43" s="37" t="n"/>
      <c r="BF43" s="37" t="n"/>
      <c r="BG43" s="37" t="n"/>
      <c r="BH43" s="37" t="n"/>
      <c r="BI43" s="37" t="n"/>
      <c r="BJ43" s="37" t="n"/>
      <c r="BK43" s="37" t="n"/>
      <c r="BL43" s="37" t="n"/>
    </row>
    <row r="44" ht="21.75" customHeight="1" s="48">
      <c r="A44" s="15" t="n"/>
      <c r="B44" s="43" t="inlineStr">
        <is>
          <t>Phase 6 — Deliverable 4: Schedule Board</t>
        </is>
      </c>
      <c r="C44" s="44" t="n"/>
      <c r="D44" s="45" t="n"/>
      <c r="E44" s="36" t="n"/>
      <c r="F44" s="19" t="n"/>
      <c r="G44" s="16" t="n"/>
      <c r="H44" s="16">
        <f>IF(OR(ISBLANK(task_start),ISBLANK(task_end)),"",task_end-task_start+1)</f>
        <v/>
      </c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  <c r="BB44" s="37" t="n"/>
      <c r="BC44" s="37" t="n"/>
      <c r="BD44" s="37" t="n"/>
      <c r="BE44" s="37" t="n"/>
      <c r="BF44" s="37" t="n"/>
      <c r="BG44" s="37" t="n"/>
      <c r="BH44" s="37" t="n"/>
      <c r="BI44" s="37" t="n"/>
      <c r="BJ44" s="37" t="n"/>
      <c r="BK44" s="37" t="n"/>
      <c r="BL44" s="37" t="n"/>
    </row>
    <row r="45" ht="21.75" customHeight="1" s="48">
      <c r="A45" s="15" t="n"/>
      <c r="B45" s="38" t="inlineStr">
        <is>
          <t>Task 6.1 — Events API (src/app/api/events)</t>
        </is>
      </c>
      <c r="C45" s="39" t="n"/>
      <c r="D45" s="42" t="n"/>
      <c r="E45" s="57" t="n"/>
      <c r="F45" s="58" t="n"/>
      <c r="G45" s="16" t="n"/>
      <c r="H45" s="16">
        <f>IF(OR(ISBLANK(task_start),ISBLANK(task_end)),"",task_end-task_start+1)</f>
        <v/>
      </c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  <c r="BB45" s="37" t="n"/>
      <c r="BC45" s="37" t="n"/>
      <c r="BD45" s="37" t="n"/>
      <c r="BE45" s="37" t="n"/>
      <c r="BF45" s="37" t="n"/>
      <c r="BG45" s="37" t="n"/>
      <c r="BH45" s="37" t="n"/>
      <c r="BI45" s="37" t="n"/>
      <c r="BJ45" s="37" t="n"/>
      <c r="BK45" s="37" t="n"/>
      <c r="BL45" s="37" t="n"/>
    </row>
    <row r="46" ht="21.75" customHeight="1" s="48">
      <c r="A46" s="15" t="n"/>
      <c r="B46" s="38" t="inlineStr">
        <is>
          <t>Task 6.2 — Schedule UI (CalendarView &amp; EventModal)</t>
        </is>
      </c>
      <c r="C46" s="39" t="n"/>
      <c r="D46" s="42" t="n"/>
      <c r="E46" s="57" t="n"/>
      <c r="F46" s="58" t="n"/>
      <c r="G46" s="16" t="n"/>
      <c r="H46" s="16">
        <f>IF(OR(ISBLANK(task_start),ISBLANK(task_end)),"",task_end-task_start+1)</f>
        <v/>
      </c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  <c r="BB46" s="37" t="n"/>
      <c r="BC46" s="37" t="n"/>
      <c r="BD46" s="37" t="n"/>
      <c r="BE46" s="37" t="n"/>
      <c r="BF46" s="37" t="n"/>
      <c r="BG46" s="37" t="n"/>
      <c r="BH46" s="37" t="n"/>
      <c r="BI46" s="37" t="n"/>
      <c r="BJ46" s="37" t="n"/>
      <c r="BK46" s="37" t="n"/>
      <c r="BL46" s="37" t="n"/>
    </row>
    <row r="47" ht="21.75" customHeight="1" s="48">
      <c r="A47" s="15" t="n"/>
      <c r="B47" s="38" t="inlineStr">
        <is>
          <t>Task 6.3 — Event Notifications &amp; Socket Broadcast</t>
        </is>
      </c>
      <c r="C47" s="39" t="n"/>
      <c r="D47" s="42" t="n"/>
      <c r="E47" s="57" t="n"/>
      <c r="F47" s="58" t="n"/>
      <c r="G47" s="16" t="n"/>
      <c r="H47" s="16">
        <f>IF(OR(ISBLANK(task_start),ISBLANK(task_end)),"",task_end-task_start+1)</f>
        <v/>
      </c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  <c r="BB47" s="37" t="n"/>
      <c r="BC47" s="37" t="n"/>
      <c r="BD47" s="37" t="n"/>
      <c r="BE47" s="37" t="n"/>
      <c r="BF47" s="37" t="n"/>
      <c r="BG47" s="37" t="n"/>
      <c r="BH47" s="37" t="n"/>
      <c r="BI47" s="37" t="n"/>
      <c r="BJ47" s="37" t="n"/>
      <c r="BK47" s="37" t="n"/>
      <c r="BL47" s="37" t="n"/>
    </row>
    <row r="48" ht="21.75" customHeight="1" s="48">
      <c r="A48" s="15" t="n"/>
      <c r="B48" s="35" t="inlineStr">
        <is>
          <t>Phase 7 — Deliverable 5: Real-Time Communication</t>
        </is>
      </c>
      <c r="C48" s="17" t="n"/>
      <c r="D48" s="45" t="n"/>
      <c r="E48" s="36" t="n"/>
      <c r="F48" s="19" t="n"/>
      <c r="G48" s="16" t="n"/>
      <c r="H48" s="16">
        <f>IF(OR(ISBLANK(task_start),ISBLANK(task_end)),"",task_end-task_start+1)</f>
        <v/>
      </c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  <c r="BB48" s="37" t="n"/>
      <c r="BC48" s="37" t="n"/>
      <c r="BD48" s="37" t="n"/>
      <c r="BE48" s="37" t="n"/>
      <c r="BF48" s="37" t="n"/>
      <c r="BG48" s="37" t="n"/>
      <c r="BH48" s="37" t="n"/>
      <c r="BI48" s="37" t="n"/>
      <c r="BJ48" s="37" t="n"/>
      <c r="BK48" s="37" t="n"/>
      <c r="BL48" s="37" t="n"/>
    </row>
    <row r="49" ht="21.75" customHeight="1" s="48">
      <c r="A49" s="15" t="n"/>
      <c r="B49" s="38" t="inlineStr">
        <is>
          <t>Task 7.1 — Custom Server Setup (server.ts with Socket.io)</t>
        </is>
      </c>
      <c r="C49" s="39" t="n"/>
      <c r="D49" s="42" t="n"/>
      <c r="E49" s="57" t="n"/>
      <c r="F49" s="58" t="n"/>
      <c r="G49" s="16" t="n"/>
      <c r="H49" s="16">
        <f>IF(OR(ISBLANK(task_start),ISBLANK(task_end)),"",task_end-task_start+1)</f>
        <v/>
      </c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  <c r="BB49" s="37" t="n"/>
      <c r="BC49" s="37" t="n"/>
      <c r="BD49" s="37" t="n"/>
      <c r="BE49" s="37" t="n"/>
      <c r="BF49" s="37" t="n"/>
      <c r="BG49" s="37" t="n"/>
      <c r="BH49" s="37" t="n"/>
      <c r="BI49" s="37" t="n"/>
      <c r="BJ49" s="37" t="n"/>
      <c r="BK49" s="37" t="n"/>
      <c r="BL49" s="37" t="n"/>
    </row>
    <row r="50" ht="21.75" customHeight="1" s="48">
      <c r="A50" s="15" t="n"/>
      <c r="B50" s="38" t="inlineStr">
        <is>
          <t>Task 7.2 — Messaging API (src/app/api/messages)</t>
        </is>
      </c>
      <c r="C50" s="39" t="n"/>
      <c r="D50" s="42" t="n"/>
      <c r="E50" s="57" t="n"/>
      <c r="F50" s="58" t="n"/>
      <c r="G50" s="16" t="n"/>
      <c r="H50" s="16">
        <f>IF(OR(ISBLANK(task_start),ISBLANK(task_end)),"",task_end-task_start+1)</f>
        <v/>
      </c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  <c r="BB50" s="37" t="n"/>
      <c r="BC50" s="37" t="n"/>
      <c r="BD50" s="37" t="n"/>
      <c r="BE50" s="37" t="n"/>
      <c r="BF50" s="37" t="n"/>
      <c r="BG50" s="37" t="n"/>
      <c r="BH50" s="37" t="n"/>
      <c r="BI50" s="37" t="n"/>
      <c r="BJ50" s="37" t="n"/>
      <c r="BK50" s="37" t="n"/>
      <c r="BL50" s="37" t="n"/>
    </row>
    <row r="51" ht="21.75" customHeight="1" s="48">
      <c r="A51" s="15" t="n"/>
      <c r="B51" s="38" t="inlineStr">
        <is>
          <t>Task 7.3 — Messaging UI (UserChatList &amp; ChatBox)</t>
        </is>
      </c>
      <c r="C51" s="39" t="n"/>
      <c r="D51" s="42" t="n"/>
      <c r="E51" s="57" t="n"/>
      <c r="F51" s="58" t="n"/>
      <c r="G51" s="16" t="n"/>
      <c r="H51" s="16">
        <f>IF(OR(ISBLANK(task_start),ISBLANK(task_end)),"",task_end-task_start+1)</f>
        <v/>
      </c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  <c r="BB51" s="37" t="n"/>
      <c r="BC51" s="37" t="n"/>
      <c r="BD51" s="37" t="n"/>
      <c r="BE51" s="37" t="n"/>
      <c r="BF51" s="37" t="n"/>
      <c r="BG51" s="37" t="n"/>
      <c r="BH51" s="37" t="n"/>
      <c r="BI51" s="37" t="n"/>
      <c r="BJ51" s="37" t="n"/>
      <c r="BK51" s="37" t="n"/>
      <c r="BL51" s="37" t="n"/>
    </row>
    <row r="52" ht="21.75" customHeight="1" s="48">
      <c r="A52" s="15" t="n"/>
      <c r="B52" s="38" t="inlineStr">
        <is>
          <t>Task 7.4 — Notifications API (src/app/api/notifications)</t>
        </is>
      </c>
      <c r="C52" s="39" t="n"/>
      <c r="D52" s="42" t="n"/>
      <c r="E52" s="57" t="n"/>
      <c r="F52" s="58" t="n"/>
      <c r="G52" s="16" t="n"/>
      <c r="H52" s="16">
        <f>IF(OR(ISBLANK(task_start),ISBLANK(task_end)),"",task_end-task_start+1)</f>
        <v/>
      </c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  <c r="BC52" s="37" t="n"/>
      <c r="BD52" s="37" t="n"/>
      <c r="BE52" s="37" t="n"/>
      <c r="BF52" s="37" t="n"/>
      <c r="BG52" s="37" t="n"/>
      <c r="BH52" s="37" t="n"/>
      <c r="BI52" s="37" t="n"/>
      <c r="BJ52" s="37" t="n"/>
      <c r="BK52" s="37" t="n"/>
      <c r="BL52" s="37" t="n"/>
    </row>
    <row r="53" ht="21.75" customHeight="1" s="48">
      <c r="A53" s="15" t="n"/>
      <c r="B53" s="38" t="inlineStr">
        <is>
          <t>Task 7.5 — Notification Bell UI (NotificationDropdown.tsx)</t>
        </is>
      </c>
      <c r="C53" s="39" t="n"/>
      <c r="D53" s="42" t="n"/>
      <c r="E53" s="57" t="n"/>
      <c r="F53" s="58" t="n"/>
      <c r="G53" s="16" t="n"/>
      <c r="H53" s="16">
        <f>IF(OR(ISBLANK(task_start),ISBLANK(task_end)),"",task_end-task_start+1)</f>
        <v/>
      </c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  <c r="BB53" s="37" t="n"/>
      <c r="BC53" s="37" t="n"/>
      <c r="BD53" s="37" t="n"/>
      <c r="BE53" s="37" t="n"/>
      <c r="BF53" s="37" t="n"/>
      <c r="BG53" s="37" t="n"/>
      <c r="BH53" s="37" t="n"/>
      <c r="BI53" s="37" t="n"/>
      <c r="BJ53" s="37" t="n"/>
      <c r="BK53" s="37" t="n"/>
      <c r="BL53" s="37" t="n"/>
    </row>
    <row r="54" ht="21.75" customHeight="1" s="48">
      <c r="A54" s="15" t="n"/>
      <c r="B54" s="35" t="inlineStr">
        <is>
          <t>Phase 8 — Deliverable 6: Admin Control Panel</t>
        </is>
      </c>
      <c r="C54" s="17" t="n"/>
      <c r="D54" s="45" t="n"/>
      <c r="E54" s="36" t="n"/>
      <c r="F54" s="19" t="n"/>
      <c r="G54" s="16" t="n"/>
      <c r="H54" s="16">
        <f>IF(OR(ISBLANK(task_start),ISBLANK(task_end)),"",task_end-task_start+1)</f>
        <v/>
      </c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  <c r="BA54" s="37" t="n"/>
      <c r="BB54" s="37" t="n"/>
      <c r="BC54" s="37" t="n"/>
      <c r="BD54" s="37" t="n"/>
      <c r="BE54" s="37" t="n"/>
      <c r="BF54" s="37" t="n"/>
      <c r="BG54" s="37" t="n"/>
      <c r="BH54" s="37" t="n"/>
      <c r="BI54" s="37" t="n"/>
      <c r="BJ54" s="37" t="n"/>
      <c r="BK54" s="37" t="n"/>
      <c r="BL54" s="37" t="n"/>
    </row>
    <row r="55" ht="21.75" customHeight="1" s="48">
      <c r="A55" s="15" t="n"/>
      <c r="B55" s="38" t="inlineStr">
        <is>
          <t>Task 8.1 — Admin API Routes (Users, Settings, Reports)</t>
        </is>
      </c>
      <c r="C55" s="39" t="n"/>
      <c r="D55" s="42" t="n"/>
      <c r="E55" s="57" t="n"/>
      <c r="F55" s="58" t="n"/>
      <c r="G55" s="16" t="n"/>
      <c r="H55" s="16">
        <f>IF(OR(ISBLANK(task_start),ISBLANK(task_end)),"",task_end-task_start+1)</f>
        <v/>
      </c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  <c r="BA55" s="37" t="n"/>
      <c r="BB55" s="37" t="n"/>
      <c r="BC55" s="37" t="n"/>
      <c r="BD55" s="37" t="n"/>
      <c r="BE55" s="37" t="n"/>
      <c r="BF55" s="37" t="n"/>
      <c r="BG55" s="37" t="n"/>
      <c r="BH55" s="37" t="n"/>
      <c r="BI55" s="37" t="n"/>
      <c r="BJ55" s="37" t="n"/>
      <c r="BK55" s="37" t="n"/>
      <c r="BL55" s="37" t="n"/>
    </row>
    <row r="56" ht="21.75" customHeight="1" s="48">
      <c r="A56" s="15" t="n"/>
      <c r="B56" s="38" t="inlineStr">
        <is>
          <t>Task 8.2 — Admin Pages (Dashboard, Users, Moderation, Settings)</t>
        </is>
      </c>
      <c r="C56" s="39" t="n"/>
      <c r="D56" s="42" t="n"/>
      <c r="E56" s="57" t="n"/>
      <c r="F56" s="58" t="n"/>
      <c r="G56" s="16" t="n"/>
      <c r="H56" s="16">
        <f>IF(OR(ISBLANK(task_start),ISBLANK(task_end)),"",task_end-task_start+1)</f>
        <v/>
      </c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  <c r="BA56" s="37" t="n"/>
      <c r="BB56" s="37" t="n"/>
      <c r="BC56" s="37" t="n"/>
      <c r="BD56" s="37" t="n"/>
      <c r="BE56" s="37" t="n"/>
      <c r="BF56" s="37" t="n"/>
      <c r="BG56" s="37" t="n"/>
      <c r="BH56" s="37" t="n"/>
      <c r="BI56" s="37" t="n"/>
      <c r="BJ56" s="37" t="n"/>
      <c r="BK56" s="37" t="n"/>
      <c r="BL56" s="37" t="n"/>
    </row>
    <row r="57" ht="21.75" customHeight="1" s="48">
      <c r="A57" s="15" t="n"/>
      <c r="B57" s="38" t="inlineStr">
        <is>
          <t>Task 8.3 — Role Guards (Middleware &amp; API Protection)</t>
        </is>
      </c>
      <c r="C57" s="39" t="n"/>
      <c r="D57" s="42" t="n"/>
      <c r="E57" s="57" t="n"/>
      <c r="F57" s="58" t="n"/>
      <c r="G57" s="16" t="n"/>
      <c r="H57" s="16">
        <f>IF(OR(ISBLANK(task_start),ISBLANK(task_end)),"",task_end-task_start+1)</f>
        <v/>
      </c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  <c r="BA57" s="37" t="n"/>
      <c r="BB57" s="37" t="n"/>
      <c r="BC57" s="37" t="n"/>
      <c r="BD57" s="37" t="n"/>
      <c r="BE57" s="37" t="n"/>
      <c r="BF57" s="37" t="n"/>
      <c r="BG57" s="37" t="n"/>
      <c r="BH57" s="37" t="n"/>
      <c r="BI57" s="37" t="n"/>
      <c r="BJ57" s="37" t="n"/>
      <c r="BK57" s="37" t="n"/>
      <c r="BL57" s="37" t="n"/>
    </row>
    <row r="58" ht="21.75" customHeight="1" s="48">
      <c r="A58" s="15" t="n"/>
      <c r="B58" s="35" t="inlineStr">
        <is>
          <t>Phase 9 — Deliverable 7: AI Agentic Moderation</t>
        </is>
      </c>
      <c r="C58" s="17" t="n"/>
      <c r="D58" s="45" t="n"/>
      <c r="E58" s="36" t="n"/>
      <c r="F58" s="19" t="n"/>
      <c r="G58" s="16" t="n"/>
      <c r="H58" s="16">
        <f>IF(OR(ISBLANK(task_start),ISBLANK(task_end)),"",task_end-task_start+1)</f>
        <v/>
      </c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  <c r="BA58" s="37" t="n"/>
      <c r="BB58" s="37" t="n"/>
      <c r="BC58" s="37" t="n"/>
      <c r="BD58" s="37" t="n"/>
      <c r="BE58" s="37" t="n"/>
      <c r="BF58" s="37" t="n"/>
      <c r="BG58" s="37" t="n"/>
      <c r="BH58" s="37" t="n"/>
      <c r="BI58" s="37" t="n"/>
      <c r="BJ58" s="37" t="n"/>
      <c r="BK58" s="37" t="n"/>
      <c r="BL58" s="37" t="n"/>
    </row>
    <row r="59" ht="21.75" customHeight="1" s="48">
      <c r="A59" s="15" t="n"/>
      <c r="B59" s="38" t="inlineStr">
        <is>
          <t>Task 9.1 — Moderation Flow in POST /api/posts</t>
        </is>
      </c>
      <c r="C59" s="39" t="n"/>
      <c r="D59" s="42" t="n"/>
      <c r="E59" s="57" t="n"/>
      <c r="F59" s="58" t="n"/>
      <c r="G59" s="16" t="n"/>
      <c r="H59" s="16">
        <f>IF(OR(ISBLANK(task_start),ISBLANK(task_end)),"",task_end-task_start+1)</f>
        <v/>
      </c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</row>
    <row r="60" ht="21.75" customHeight="1" s="48">
      <c r="A60" s="15" t="n"/>
      <c r="B60" s="38" t="inlineStr">
        <is>
          <t>Task 9.2 — Sensitivity Levels (STRICT / MODERATE / LENIENT)</t>
        </is>
      </c>
      <c r="C60" s="39" t="n"/>
      <c r="D60" s="42" t="n"/>
      <c r="E60" s="57" t="n"/>
      <c r="F60" s="58" t="n"/>
      <c r="G60" s="16" t="n"/>
      <c r="H60" s="16">
        <f>IF(OR(ISBLANK(task_start),ISBLANK(task_end)),"",task_end-task_start+1)</f>
        <v/>
      </c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</row>
    <row r="61" ht="21.75" customHeight="1" s="48">
      <c r="A61" s="15" t="n"/>
      <c r="B61" s="38" t="inlineStr">
        <is>
          <t>Task 9.3 — Admin AI Controls &amp; Analytics</t>
        </is>
      </c>
      <c r="C61" s="39" t="n"/>
      <c r="D61" s="42" t="n"/>
      <c r="E61" s="57" t="n"/>
      <c r="F61" s="58" t="n"/>
      <c r="G61" s="16" t="n"/>
      <c r="H61" s="16">
        <f>IF(OR(ISBLANK(task_start),ISBLANK(task_end)),"",task_end-task_start+1)</f>
        <v/>
      </c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</row>
    <row r="62" ht="21.75" customHeight="1" s="48">
      <c r="A62" s="15" t="n"/>
      <c r="B62" s="35" t="inlineStr">
        <is>
          <t>Phase 10 — Deliverable 8: Polish &amp; Deployment</t>
        </is>
      </c>
      <c r="C62" s="17" t="n"/>
      <c r="D62" s="45" t="n"/>
      <c r="E62" s="36" t="n"/>
      <c r="F62" s="19" t="n"/>
      <c r="G62" s="16" t="n"/>
      <c r="H62" s="16">
        <f>IF(OR(ISBLANK(task_start),ISBLANK(task_end)),"",task_end-task_start+1)</f>
        <v/>
      </c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  <c r="BA62" s="37" t="n"/>
      <c r="BB62" s="37" t="n"/>
      <c r="BC62" s="37" t="n"/>
      <c r="BD62" s="37" t="n"/>
      <c r="BE62" s="37" t="n"/>
      <c r="BF62" s="37" t="n"/>
      <c r="BG62" s="37" t="n"/>
      <c r="BH62" s="37" t="n"/>
      <c r="BI62" s="37" t="n"/>
      <c r="BJ62" s="37" t="n"/>
      <c r="BK62" s="37" t="n"/>
      <c r="BL62" s="37" t="n"/>
    </row>
    <row r="63" ht="21.75" customHeight="1" s="48">
      <c r="A63" s="15" t="n"/>
      <c r="B63" s="38" t="inlineStr">
        <is>
          <t>Task 10.1 — Responsive Design Audit (Mobile/Tablet/Desktop)</t>
        </is>
      </c>
      <c r="C63" s="39" t="n"/>
      <c r="D63" s="42" t="n"/>
      <c r="E63" s="57" t="n"/>
      <c r="F63" s="58" t="n"/>
      <c r="G63" s="16" t="n"/>
      <c r="H63" s="16">
        <f>IF(OR(ISBLANK(task_start),ISBLANK(task_end)),"",task_end-task_start+1)</f>
        <v/>
      </c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  <c r="BA63" s="37" t="n"/>
      <c r="BB63" s="37" t="n"/>
      <c r="BC63" s="37" t="n"/>
      <c r="BD63" s="37" t="n"/>
      <c r="BE63" s="37" t="n"/>
      <c r="BF63" s="37" t="n"/>
      <c r="BG63" s="37" t="n"/>
      <c r="BH63" s="37" t="n"/>
      <c r="BI63" s="37" t="n"/>
      <c r="BJ63" s="37" t="n"/>
      <c r="BK63" s="37" t="n"/>
      <c r="BL63" s="37" t="n"/>
    </row>
    <row r="64" ht="21.75" customHeight="1" s="48">
      <c r="A64" s="15" t="n"/>
      <c r="B64" s="38" t="inlineStr">
        <is>
          <t>Task 10.2 — Loading States, Skeletons &amp; Empty States</t>
        </is>
      </c>
      <c r="C64" s="39" t="n"/>
      <c r="D64" s="42" t="n"/>
      <c r="E64" s="57" t="n"/>
      <c r="F64" s="58" t="n"/>
      <c r="G64" s="16" t="n"/>
      <c r="H64" s="16">
        <f>IF(OR(ISBLANK(task_start),ISBLANK(task_end)),"",task_end-task_start+1)</f>
        <v/>
      </c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  <c r="BA64" s="37" t="n"/>
      <c r="BB64" s="37" t="n"/>
      <c r="BC64" s="37" t="n"/>
      <c r="BD64" s="37" t="n"/>
      <c r="BE64" s="37" t="n"/>
      <c r="BF64" s="37" t="n"/>
      <c r="BG64" s="37" t="n"/>
      <c r="BH64" s="37" t="n"/>
      <c r="BI64" s="37" t="n"/>
      <c r="BJ64" s="37" t="n"/>
      <c r="BK64" s="37" t="n"/>
      <c r="BL64" s="37" t="n"/>
    </row>
    <row r="65" ht="21.75" customHeight="1" s="48">
      <c r="A65" s="15" t="n"/>
      <c r="B65" s="38" t="inlineStr">
        <is>
          <t>Task 10.3 — GitHub Actions CI (.github/workflows/ci.yml)</t>
        </is>
      </c>
      <c r="C65" s="39" t="n"/>
      <c r="D65" s="42" t="n"/>
      <c r="E65" s="57" t="n"/>
      <c r="F65" s="58" t="n"/>
      <c r="G65" s="16" t="n"/>
      <c r="H65" s="16">
        <f>IF(OR(ISBLANK(task_start),ISBLANK(task_end)),"",task_end-task_start+1)</f>
        <v/>
      </c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  <c r="BA65" s="37" t="n"/>
      <c r="BB65" s="37" t="n"/>
      <c r="BC65" s="37" t="n"/>
      <c r="BD65" s="37" t="n"/>
      <c r="BE65" s="37" t="n"/>
      <c r="BF65" s="37" t="n"/>
      <c r="BG65" s="37" t="n"/>
      <c r="BH65" s="37" t="n"/>
      <c r="BI65" s="37" t="n"/>
      <c r="BJ65" s="37" t="n"/>
      <c r="BK65" s="37" t="n"/>
      <c r="BL65" s="37" t="n"/>
    </row>
    <row r="66" ht="21.75" customHeight="1" s="48">
      <c r="A66" s="15" t="n"/>
      <c r="B66" s="38" t="inlineStr">
        <is>
          <t>Task 10.4 — Production Cloud Deployment (Vercel + Neon DB)</t>
        </is>
      </c>
      <c r="C66" s="39" t="n"/>
      <c r="D66" s="42" t="n"/>
      <c r="E66" s="57" t="n"/>
      <c r="F66" s="58" t="n"/>
      <c r="G66" s="16" t="n"/>
      <c r="H66" s="16">
        <f>IF(OR(ISBLANK(task_start),ISBLANK(task_end)),"",task_end-task_start+1)</f>
        <v/>
      </c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  <c r="BA66" s="37" t="n"/>
      <c r="BB66" s="37" t="n"/>
      <c r="BC66" s="37" t="n"/>
      <c r="BD66" s="37" t="n"/>
      <c r="BE66" s="37" t="n"/>
      <c r="BF66" s="37" t="n"/>
      <c r="BG66" s="37" t="n"/>
      <c r="BH66" s="37" t="n"/>
      <c r="BI66" s="37" t="n"/>
      <c r="BJ66" s="37" t="n"/>
      <c r="BK66" s="37" t="n"/>
      <c r="BL66" s="37" t="n"/>
    </row>
    <row r="67" ht="21.75" customHeight="1" s="48">
      <c r="A67" s="15" t="n"/>
      <c r="B67" s="38" t="inlineStr">
        <is>
          <t>Task 10.5 — Update Documentation (docs/index.md)</t>
        </is>
      </c>
      <c r="C67" s="39" t="n"/>
      <c r="D67" s="42" t="n"/>
      <c r="E67" s="57" t="n"/>
      <c r="F67" s="58" t="n"/>
      <c r="G67" s="16" t="n"/>
      <c r="H67" s="16">
        <f>IF(OR(ISBLANK(task_start),ISBLANK(task_end)),"",task_end-task_start+1)</f>
        <v/>
      </c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  <c r="BA67" s="37" t="n"/>
      <c r="BB67" s="37" t="n"/>
      <c r="BC67" s="37" t="n"/>
      <c r="BD67" s="37" t="n"/>
      <c r="BE67" s="37" t="n"/>
      <c r="BF67" s="37" t="n"/>
      <c r="BG67" s="37" t="n"/>
      <c r="BH67" s="37" t="n"/>
      <c r="BI67" s="37" t="n"/>
      <c r="BJ67" s="37" t="n"/>
      <c r="BK67" s="37" t="n"/>
      <c r="BL67" s="37" t="n"/>
    </row>
    <row r="68" ht="21.75" customHeight="1" s="48">
      <c r="A68" s="15" t="n"/>
      <c r="B68" s="38" t="inlineStr">
        <is>
          <t>Task 10.6 — UAT Checklist &amp; Role Verification</t>
        </is>
      </c>
      <c r="C68" s="39" t="n"/>
      <c r="D68" s="42" t="n"/>
      <c r="E68" s="57" t="n"/>
      <c r="F68" s="58" t="n"/>
      <c r="G68" s="16" t="n"/>
      <c r="H68" s="16">
        <f>IF(OR(ISBLANK(task_start),ISBLANK(task_end)),"",task_end-task_start+1)</f>
        <v/>
      </c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  <c r="BA68" s="37" t="n"/>
      <c r="BB68" s="37" t="n"/>
      <c r="BC68" s="37" t="n"/>
      <c r="BD68" s="37" t="n"/>
      <c r="BE68" s="37" t="n"/>
      <c r="BF68" s="37" t="n"/>
      <c r="BG68" s="37" t="n"/>
      <c r="BH68" s="37" t="n"/>
      <c r="BI68" s="37" t="n"/>
      <c r="BJ68" s="37" t="n"/>
      <c r="BK68" s="37" t="n"/>
      <c r="BL68" s="37" t="n"/>
    </row>
    <row r="69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46" t="n"/>
      <c r="AH69" s="46" t="n"/>
      <c r="AI69" s="46" t="n"/>
      <c r="AJ69" s="46" t="n"/>
      <c r="AK69" s="46" t="n"/>
      <c r="AL69" s="46" t="n"/>
      <c r="AM69" s="46" t="n"/>
      <c r="AN69" s="46" t="n"/>
      <c r="AO69" s="46" t="n"/>
      <c r="AP69" s="46" t="n"/>
      <c r="AQ69" s="46" t="n"/>
      <c r="AR69" s="46" t="n"/>
      <c r="AS69" s="46" t="n"/>
      <c r="AT69" s="46" t="n"/>
      <c r="AU69" s="46" t="n"/>
      <c r="AV69" s="46" t="n"/>
      <c r="AW69" s="46" t="n"/>
      <c r="AX69" s="46" t="n"/>
      <c r="AY69" s="46" t="n"/>
      <c r="AZ69" s="46" t="n"/>
      <c r="BA69" s="46" t="n"/>
      <c r="BB69" s="46" t="n"/>
      <c r="BC69" s="46" t="n"/>
      <c r="BD69" s="46" t="n"/>
      <c r="BE69" s="46" t="n"/>
      <c r="BF69" s="46" t="n"/>
      <c r="BG69" s="46" t="n"/>
      <c r="BH69" s="46" t="n"/>
      <c r="BI69" s="46" t="n"/>
      <c r="BJ69" s="46" t="n"/>
      <c r="BK69" s="46" t="n"/>
      <c r="BL69" s="46" t="n"/>
    </row>
    <row r="70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6" t="n"/>
      <c r="AH70" s="46" t="n"/>
      <c r="AI70" s="46" t="n"/>
      <c r="AJ70" s="46" t="n"/>
      <c r="AK70" s="46" t="n"/>
      <c r="AL70" s="46" t="n"/>
      <c r="AM70" s="46" t="n"/>
      <c r="AN70" s="46" t="n"/>
      <c r="AO70" s="46" t="n"/>
      <c r="AP70" s="46" t="n"/>
      <c r="AQ70" s="46" t="n"/>
      <c r="AR70" s="46" t="n"/>
      <c r="AS70" s="46" t="n"/>
      <c r="AT70" s="46" t="n"/>
      <c r="AU70" s="46" t="n"/>
      <c r="AV70" s="46" t="n"/>
      <c r="AW70" s="46" t="n"/>
      <c r="AX70" s="46" t="n"/>
      <c r="AY70" s="46" t="n"/>
      <c r="AZ70" s="46" t="n"/>
      <c r="BA70" s="46" t="n"/>
      <c r="BB70" s="46" t="n"/>
      <c r="BC70" s="46" t="n"/>
      <c r="BD70" s="46" t="n"/>
      <c r="BE70" s="46" t="n"/>
      <c r="BF70" s="46" t="n"/>
      <c r="BG70" s="46" t="n"/>
      <c r="BH70" s="46" t="n"/>
      <c r="BI70" s="46" t="n"/>
      <c r="BJ70" s="46" t="n"/>
      <c r="BK70" s="46" t="n"/>
      <c r="BL70" s="46" t="n"/>
    </row>
    <row r="71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6" t="n"/>
      <c r="AH71" s="46" t="n"/>
      <c r="AI71" s="46" t="n"/>
      <c r="AJ71" s="46" t="n"/>
      <c r="AK71" s="46" t="n"/>
      <c r="AL71" s="46" t="n"/>
      <c r="AM71" s="46" t="n"/>
      <c r="AN71" s="46" t="n"/>
      <c r="AO71" s="46" t="n"/>
      <c r="AP71" s="46" t="n"/>
      <c r="AQ71" s="46" t="n"/>
      <c r="AR71" s="46" t="n"/>
      <c r="AS71" s="46" t="n"/>
      <c r="AT71" s="46" t="n"/>
      <c r="AU71" s="46" t="n"/>
      <c r="AV71" s="46" t="n"/>
      <c r="AW71" s="46" t="n"/>
      <c r="AX71" s="46" t="n"/>
      <c r="AY71" s="46" t="n"/>
      <c r="AZ71" s="46" t="n"/>
      <c r="BA71" s="46" t="n"/>
      <c r="BB71" s="46" t="n"/>
      <c r="BC71" s="46" t="n"/>
      <c r="BD71" s="46" t="n"/>
      <c r="BE71" s="46" t="n"/>
      <c r="BF71" s="46" t="n"/>
      <c r="BG71" s="46" t="n"/>
      <c r="BH71" s="46" t="n"/>
      <c r="BI71" s="46" t="n"/>
      <c r="BJ71" s="46" t="n"/>
      <c r="BK71" s="46" t="n"/>
      <c r="BL71" s="46" t="n"/>
    </row>
    <row r="72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6" t="n"/>
      <c r="AH72" s="46" t="n"/>
      <c r="AI72" s="46" t="n"/>
      <c r="AJ72" s="46" t="n"/>
      <c r="AK72" s="46" t="n"/>
      <c r="AL72" s="46" t="n"/>
      <c r="AM72" s="46" t="n"/>
      <c r="AN72" s="46" t="n"/>
      <c r="AO72" s="46" t="n"/>
      <c r="AP72" s="46" t="n"/>
      <c r="AQ72" s="46" t="n"/>
      <c r="AR72" s="46" t="n"/>
      <c r="AS72" s="46" t="n"/>
      <c r="AT72" s="46" t="n"/>
      <c r="AU72" s="46" t="n"/>
      <c r="AV72" s="46" t="n"/>
      <c r="AW72" s="46" t="n"/>
      <c r="AX72" s="46" t="n"/>
      <c r="AY72" s="46" t="n"/>
      <c r="AZ72" s="46" t="n"/>
      <c r="BA72" s="46" t="n"/>
      <c r="BB72" s="46" t="n"/>
      <c r="BC72" s="46" t="n"/>
      <c r="BD72" s="46" t="n"/>
      <c r="BE72" s="46" t="n"/>
      <c r="BF72" s="46" t="n"/>
      <c r="BG72" s="46" t="n"/>
      <c r="BH72" s="46" t="n"/>
      <c r="BI72" s="46" t="n"/>
      <c r="BJ72" s="46" t="n"/>
      <c r="BK72" s="46" t="n"/>
      <c r="BL72" s="46" t="n"/>
    </row>
  </sheetData>
  <mergeCells count="13">
    <mergeCell ref="B2:C2"/>
    <mergeCell ref="AK4:AQ4"/>
    <mergeCell ref="W4:AC4"/>
    <mergeCell ref="AD4:AJ4"/>
    <mergeCell ref="AR4:AX4"/>
    <mergeCell ref="E2:F2"/>
    <mergeCell ref="B3:C3"/>
    <mergeCell ref="P4:V4"/>
    <mergeCell ref="AY4:BE4"/>
    <mergeCell ref="I4:O4"/>
    <mergeCell ref="BF4:BL4"/>
    <mergeCell ref="B4:C4"/>
    <mergeCell ref="E3:F3"/>
  </mergeCells>
  <conditionalFormatting sqref="D7:D68">
    <cfRule type="dataBar" priority="12">
      <dataBar>
        <cfvo type="num" val="0"/>
        <cfvo type="num" val="1"/>
        <color theme="0" tint="-0.249977111117893"/>
      </dataBar>
    </cfRule>
  </conditionalFormatting>
  <conditionalFormatting sqref="I5:BL68">
    <cfRule type="expression" priority="27" dxfId="2">
      <formula>AND(today&gt;=I$5,today&lt;I$5+1)</formula>
    </cfRule>
  </conditionalFormatting>
  <conditionalFormatting sqref="I7:BL68">
    <cfRule type="expression" priority="25" dxfId="1">
      <formula>AND(task_start&lt;=I$5,ROUNDDOWN((task_end-task_start+1)*task_progress,0)+task_start-1&gt;=I$5)</formula>
    </cfRule>
    <cfRule type="expression" priority="26" dxfId="0" stopIfTrue="1">
      <formula>AND(task_end&gt;=I$5,task_start&lt;I$5+1)</formula>
    </cfRule>
  </conditionalFormatting>
  <dataValidations count="1">
    <dataValidation sqref="E4" showDropDown="0" showInputMessage="1" showErrorMessage="0" allowBlank="1" promptTitle="Display Week" prompt="Changing this number will scroll the Gantt Chart view." type="whole" operator="greaterThanOrEqual">
      <formula1>1</formula1>
    </dataValidation>
  </dataValidations>
  <hyperlinks>
    <hyperlink xmlns:r="http://schemas.openxmlformats.org/officeDocument/2006/relationships" ref="B43" r:id="rId1"/>
    <hyperlink xmlns:r="http://schemas.openxmlformats.org/officeDocument/2006/relationships" ref="B44" r:id="rId2"/>
  </hyperlinks>
  <pageMargins left="0.35" right="0.35" top="0.35" bottom="0.5" header="0.3" footer="0.3"/>
  <pageSetup orientation="landscape" scale="62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Vertex42.com</dc:creator>
  <dc:title xmlns:dc="http://purl.org/dc/elements/1.1/">Simple Gantt Chart</dc:title>
  <dc:description xmlns:dc="http://purl.org/dc/elements/1.1/">© 2018-2019 Vertex42 LLC. All Rights Reserved.</dc:description>
  <dcterms:created xmlns:dcterms="http://purl.org/dc/terms/" xmlns:xsi="http://www.w3.org/2001/XMLSchema-instance" xsi:type="dcterms:W3CDTF">2017-01-09T18:01:51Z</dcterms:created>
  <dcterms:modified xmlns:dcterms="http://purl.org/dc/terms/" xmlns:xsi="http://www.w3.org/2001/XMLSchema-instance" xsi:type="dcterms:W3CDTF">2026-09-06T19:18:00Z</dcterms:modified>
  <cp:lastModifiedBy>Jayesh Jasrotia</cp:lastModifiedBy>
  <cp:lastPrinted>2019-04-24T14:39:40Z</cp:lastPrinted>
</cp:coreProperties>
</file>

<file path=docProps/custom.xml><?xml version="1.0" encoding="utf-8"?>
<Properties xmlns="http://schemas.openxmlformats.org/officeDocument/2006/custom-properties">
  <property name="Source" fmtid="{D5CDD505-2E9C-101B-9397-08002B2CF9AE}" pid="2">
    <vt:lpwstr xmlns:vt="http://schemas.openxmlformats.org/officeDocument/2006/docPropsVTypes">https://www.vertex42.com/</vt:lpwstr>
  </property>
  <property name="Copyright" fmtid="{D5CDD505-2E9C-101B-9397-08002B2CF9AE}" pid="3">
    <vt:lpwstr xmlns:vt="http://schemas.openxmlformats.org/officeDocument/2006/docPropsVTypes">© 2019 Vertex42 LLC</vt:lpwstr>
  </property>
  <property name="Version" fmtid="{D5CDD505-2E9C-101B-9397-08002B2CF9AE}" pid="4">
    <vt:lpwstr xmlns:vt="http://schemas.openxmlformats.org/officeDocument/2006/docPropsVTypes">1.0.1</vt:lpwstr>
  </property>
</Properties>
</file>